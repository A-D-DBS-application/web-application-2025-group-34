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william_pieters_ugent_be/Documents/V.I.C/Excel/"/>
    </mc:Choice>
  </mc:AlternateContent>
  <xr:revisionPtr revIDLastSave="0" documentId="8_{55621E33-2731-4B9E-A798-7DE79D1C37EE}" xr6:coauthVersionLast="47" xr6:coauthVersionMax="47" xr10:uidLastSave="{00000000-0000-0000-0000-000000000000}"/>
  <bookViews>
    <workbookView xWindow="-108" yWindow="-108" windowWidth="23256" windowHeight="14616" xr2:uid="{986807A4-B4EE-4A69-A671-2D5A7C590643}"/>
  </bookViews>
  <sheets>
    <sheet name="Final vers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K66" i="1"/>
  <c r="K67" i="1" s="1"/>
  <c r="S65" i="1"/>
  <c r="K65" i="1"/>
  <c r="K57" i="1"/>
  <c r="K56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P52" i="1"/>
  <c r="Q48" i="1"/>
  <c r="Q49" i="1" s="1"/>
  <c r="P48" i="1"/>
  <c r="P49" i="1" s="1"/>
  <c r="O48" i="1"/>
  <c r="O49" i="1" s="1"/>
  <c r="K47" i="1"/>
  <c r="K50" i="1" s="1"/>
  <c r="Q43" i="1"/>
  <c r="P43" i="1"/>
  <c r="O43" i="1"/>
  <c r="N43" i="1"/>
  <c r="M43" i="1"/>
  <c r="L43" i="1"/>
  <c r="K43" i="1"/>
  <c r="Q41" i="1"/>
  <c r="P41" i="1"/>
  <c r="O41" i="1"/>
  <c r="N41" i="1"/>
  <c r="M41" i="1"/>
  <c r="L41" i="1"/>
  <c r="K41" i="1"/>
  <c r="Q40" i="1"/>
  <c r="P40" i="1"/>
  <c r="P38" i="1"/>
  <c r="O38" i="1"/>
  <c r="N38" i="1"/>
  <c r="M38" i="1"/>
  <c r="L38" i="1"/>
  <c r="K38" i="1"/>
  <c r="Q37" i="1"/>
  <c r="P37" i="1"/>
  <c r="O37" i="1"/>
  <c r="N37" i="1"/>
  <c r="Y35" i="1"/>
  <c r="X35" i="1"/>
  <c r="P44" i="1" s="1"/>
  <c r="W35" i="1"/>
  <c r="O44" i="1" s="1"/>
  <c r="V35" i="1"/>
  <c r="N44" i="1" s="1"/>
  <c r="U35" i="1"/>
  <c r="M44" i="1" s="1"/>
  <c r="T35" i="1"/>
  <c r="L44" i="1" s="1"/>
  <c r="X34" i="1"/>
  <c r="P42" i="1" s="1"/>
  <c r="W34" i="1"/>
  <c r="O42" i="1" s="1"/>
  <c r="V34" i="1"/>
  <c r="N42" i="1" s="1"/>
  <c r="U34" i="1"/>
  <c r="M42" i="1" s="1"/>
  <c r="T34" i="1"/>
  <c r="L42" i="1" s="1"/>
  <c r="S34" i="1"/>
  <c r="K42" i="1" s="1"/>
  <c r="Q34" i="1"/>
  <c r="Q33" i="1"/>
  <c r="P33" i="1"/>
  <c r="O33" i="1"/>
  <c r="N33" i="1"/>
  <c r="M33" i="1"/>
  <c r="L33" i="1"/>
  <c r="K33" i="1"/>
  <c r="H33" i="1"/>
  <c r="G33" i="1"/>
  <c r="F33" i="1"/>
  <c r="E33" i="1"/>
  <c r="D33" i="1"/>
  <c r="C33" i="1"/>
  <c r="B33" i="1"/>
  <c r="Q32" i="1"/>
  <c r="P32" i="1"/>
  <c r="O32" i="1"/>
  <c r="N32" i="1"/>
  <c r="M32" i="1"/>
  <c r="L32" i="1"/>
  <c r="K32" i="1"/>
  <c r="H32" i="1"/>
  <c r="Q36" i="1" s="1"/>
  <c r="G32" i="1"/>
  <c r="P36" i="1" s="1"/>
  <c r="F32" i="1"/>
  <c r="O36" i="1" s="1"/>
  <c r="E32" i="1"/>
  <c r="N36" i="1" s="1"/>
  <c r="D32" i="1"/>
  <c r="M36" i="1" s="1"/>
  <c r="C32" i="1"/>
  <c r="B32" i="1"/>
  <c r="P30" i="1"/>
  <c r="O30" i="1"/>
  <c r="N30" i="1"/>
  <c r="M30" i="1"/>
  <c r="L30" i="1"/>
  <c r="K30" i="1"/>
  <c r="H30" i="1"/>
  <c r="G30" i="1"/>
  <c r="P34" i="1" s="1"/>
  <c r="F30" i="1"/>
  <c r="O40" i="1" s="1"/>
  <c r="E30" i="1"/>
  <c r="N40" i="1" s="1"/>
  <c r="D30" i="1"/>
  <c r="M37" i="1" s="1"/>
  <c r="C30" i="1"/>
  <c r="L40" i="1" s="1"/>
  <c r="B30" i="1"/>
  <c r="S35" i="1" s="1"/>
  <c r="K44" i="1" s="1"/>
  <c r="N29" i="1"/>
  <c r="M29" i="1"/>
  <c r="L29" i="1"/>
  <c r="K29" i="1"/>
  <c r="P28" i="1"/>
  <c r="O28" i="1"/>
  <c r="N28" i="1"/>
  <c r="M28" i="1"/>
  <c r="L28" i="1"/>
  <c r="K28" i="1"/>
  <c r="H28" i="1"/>
  <c r="G28" i="1"/>
  <c r="F28" i="1"/>
  <c r="E28" i="1"/>
  <c r="D28" i="1"/>
  <c r="C28" i="1"/>
  <c r="B28" i="1"/>
  <c r="Q26" i="1"/>
  <c r="P26" i="1"/>
  <c r="O26" i="1"/>
  <c r="N26" i="1"/>
  <c r="M26" i="1"/>
  <c r="L26" i="1"/>
  <c r="K26" i="1"/>
  <c r="H25" i="1"/>
  <c r="G25" i="1"/>
  <c r="F25" i="1"/>
  <c r="E25" i="1"/>
  <c r="D25" i="1"/>
  <c r="C25" i="1"/>
  <c r="B25" i="1"/>
  <c r="N24" i="1"/>
  <c r="M24" i="1"/>
  <c r="L24" i="1"/>
  <c r="K24" i="1"/>
  <c r="H20" i="1"/>
  <c r="Q35" i="1" s="1"/>
  <c r="G20" i="1"/>
  <c r="P35" i="1" s="1"/>
  <c r="F20" i="1"/>
  <c r="O35" i="1" s="1"/>
  <c r="E20" i="1"/>
  <c r="N35" i="1" s="1"/>
  <c r="D20" i="1"/>
  <c r="M35" i="1" s="1"/>
  <c r="C20" i="1"/>
  <c r="L52" i="1" s="1"/>
  <c r="B20" i="1"/>
  <c r="K35" i="1" s="1"/>
  <c r="H19" i="1"/>
  <c r="Q44" i="1" s="1"/>
  <c r="G19" i="1"/>
  <c r="F19" i="1"/>
  <c r="E19" i="1"/>
  <c r="D19" i="1"/>
  <c r="C19" i="1"/>
  <c r="B19" i="1"/>
  <c r="E18" i="1"/>
  <c r="D18" i="1"/>
  <c r="C18" i="1"/>
  <c r="B18" i="1"/>
  <c r="H17" i="1"/>
  <c r="Q29" i="1" s="1"/>
  <c r="G17" i="1"/>
  <c r="P29" i="1" s="1"/>
  <c r="F17" i="1"/>
  <c r="O52" i="1" s="1"/>
  <c r="E17" i="1"/>
  <c r="N52" i="1" s="1"/>
  <c r="D17" i="1"/>
  <c r="M52" i="1" s="1"/>
  <c r="C17" i="1"/>
  <c r="B17" i="1"/>
  <c r="K52" i="1" s="1"/>
  <c r="P16" i="1"/>
  <c r="O16" i="1"/>
  <c r="N16" i="1"/>
  <c r="M16" i="1"/>
  <c r="L16" i="1"/>
  <c r="K16" i="1"/>
  <c r="H16" i="1"/>
  <c r="Q47" i="1" s="1"/>
  <c r="G16" i="1"/>
  <c r="P47" i="1" s="1"/>
  <c r="F16" i="1"/>
  <c r="O47" i="1" s="1"/>
  <c r="E16" i="1"/>
  <c r="N47" i="1" s="1"/>
  <c r="D16" i="1"/>
  <c r="M47" i="1" s="1"/>
  <c r="C16" i="1"/>
  <c r="K58" i="1" s="1"/>
  <c r="B16" i="1"/>
  <c r="Q15" i="1"/>
  <c r="P15" i="1"/>
  <c r="O15" i="1"/>
  <c r="N15" i="1"/>
  <c r="M15" i="1"/>
  <c r="L15" i="1"/>
  <c r="K15" i="1"/>
  <c r="Q14" i="1"/>
  <c r="P14" i="1"/>
  <c r="O14" i="1"/>
  <c r="N14" i="1"/>
  <c r="M14" i="1"/>
  <c r="L14" i="1"/>
  <c r="K14" i="1"/>
  <c r="H13" i="1"/>
  <c r="Q30" i="1" s="1"/>
  <c r="G13" i="1"/>
  <c r="F13" i="1"/>
  <c r="E13" i="1"/>
  <c r="D13" i="1"/>
  <c r="C13" i="1"/>
  <c r="B13" i="1"/>
  <c r="H11" i="1"/>
  <c r="Q25" i="1" s="1"/>
  <c r="G11" i="1"/>
  <c r="P25" i="1" s="1"/>
  <c r="F11" i="1"/>
  <c r="O25" i="1" s="1"/>
  <c r="E11" i="1"/>
  <c r="N25" i="1" s="1"/>
  <c r="D11" i="1"/>
  <c r="M25" i="1" s="1"/>
  <c r="C11" i="1"/>
  <c r="L25" i="1" s="1"/>
  <c r="B11" i="1"/>
  <c r="K25" i="1" s="1"/>
  <c r="H9" i="1"/>
  <c r="Q24" i="1" s="1"/>
  <c r="G9" i="1"/>
  <c r="P24" i="1" s="1"/>
  <c r="F9" i="1"/>
  <c r="O24" i="1" s="1"/>
  <c r="E9" i="1"/>
  <c r="D9" i="1"/>
  <c r="C9" i="1"/>
  <c r="B9" i="1"/>
  <c r="H4" i="1"/>
  <c r="G4" i="1"/>
  <c r="F4" i="1"/>
  <c r="E4" i="1"/>
  <c r="N48" i="1" s="1"/>
  <c r="N49" i="1" s="1"/>
  <c r="D4" i="1"/>
  <c r="M48" i="1" s="1"/>
  <c r="M49" i="1" s="1"/>
  <c r="C4" i="1"/>
  <c r="L48" i="1" s="1"/>
  <c r="L49" i="1" s="1"/>
  <c r="B4" i="1"/>
  <c r="K48" i="1" s="1"/>
  <c r="K49" i="1" s="1"/>
  <c r="Q52" i="1" l="1"/>
  <c r="K59" i="1"/>
  <c r="K3" i="1" s="1"/>
  <c r="K27" i="1"/>
  <c r="L47" i="1"/>
  <c r="K62" i="1"/>
  <c r="F18" i="1"/>
  <c r="N27" i="1"/>
  <c r="G18" i="1"/>
  <c r="K63" i="1" s="1"/>
  <c r="K72" i="1" s="1"/>
  <c r="O27" i="1"/>
  <c r="Q28" i="1"/>
  <c r="H18" i="1"/>
  <c r="P27" i="1"/>
  <c r="L35" i="1"/>
  <c r="Q27" i="1"/>
  <c r="L34" i="1"/>
  <c r="K40" i="1"/>
  <c r="K60" i="1"/>
  <c r="L27" i="1"/>
  <c r="K61" i="1"/>
  <c r="M27" i="1"/>
  <c r="K36" i="1"/>
  <c r="Y34" i="1"/>
  <c r="Q42" i="1" s="1"/>
  <c r="K34" i="1"/>
  <c r="Q38" i="1"/>
  <c r="O29" i="1"/>
  <c r="N34" i="1"/>
  <c r="K37" i="1"/>
  <c r="M40" i="1"/>
  <c r="K70" i="1"/>
  <c r="L36" i="1"/>
  <c r="M34" i="1"/>
  <c r="O34" i="1"/>
  <c r="L37" i="1"/>
  <c r="K71" i="1"/>
  <c r="L46" i="1" l="1"/>
  <c r="K46" i="1"/>
  <c r="O46" i="1"/>
  <c r="Q46" i="1"/>
  <c r="P46" i="1"/>
  <c r="N46" i="1"/>
  <c r="M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Pieters</author>
  </authors>
  <commentList>
    <comment ref="J24" authorId="0" shapeId="0" xr:uid="{AB6FD795-6A08-4EF4-8062-40BCE7B37445}">
      <text>
        <r>
          <rPr>
            <sz val="10"/>
            <color indexed="10"/>
            <rFont val="Arial"/>
            <family val="2"/>
          </rPr>
          <t xml:space="preserve">Gross Profit / Revenue
= Shows how much profit a company makes after subtracting the cost of goods sold.
</t>
        </r>
      </text>
    </comment>
    <comment ref="J25" authorId="0" shapeId="0" xr:uid="{8845081F-1794-4263-83EF-1C30E86C7EC9}">
      <text>
        <r>
          <rPr>
            <sz val="10"/>
            <color indexed="10"/>
            <rFont val="Arial"/>
            <family val="2"/>
          </rPr>
          <t>Operating income / Revenue
=Measures how much operating profit is earned from each dollar of sales before interest and taxes.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J26" authorId="0" shapeId="0" xr:uid="{A46F72B0-6CB0-4454-A3A3-95B34368E172}">
      <text>
        <r>
          <rPr>
            <sz val="10"/>
            <color indexed="10"/>
            <rFont val="Arial"/>
            <family val="2"/>
          </rPr>
          <t xml:space="preserve">Net income / Revenue
=Shows how much of every dollar of revenue remains as net income after all expenses and taxes.
</t>
        </r>
      </text>
    </comment>
    <comment ref="J27" authorId="0" shapeId="0" xr:uid="{F26E0D43-0606-4BAB-BF54-942698C46652}">
      <text>
        <r>
          <rPr>
            <sz val="10"/>
            <color indexed="10"/>
            <rFont val="Arial"/>
            <family val="2"/>
          </rPr>
          <t xml:space="preserve">EBITDA / Revenue
=Indicates the company’s operating profitability before interest, taxes, depreciation, and amortization.
</t>
        </r>
      </text>
    </comment>
    <comment ref="J28" authorId="0" shapeId="0" xr:uid="{05977BFE-6E10-4918-9254-E6633DD3F740}">
      <text>
        <r>
          <rPr>
            <sz val="10"/>
            <color indexed="10"/>
            <rFont val="Arial"/>
            <family val="2"/>
          </rPr>
          <t>EBIT / Revenue
=Shows the proportion of revenue that remains after all operating expenses but before interest and taxes.</t>
        </r>
      </text>
    </comment>
    <comment ref="J29" authorId="0" shapeId="0" xr:uid="{AA735329-CF40-4800-A3D2-8A806FBE890A}">
      <text>
        <r>
          <rPr>
            <sz val="10"/>
            <color indexed="10"/>
            <rFont val="Arial"/>
            <family val="2"/>
          </rPr>
          <t>FCF / Revenue
Measures how efficiently a company turns its sales into free cash flow available to investors.</t>
        </r>
      </text>
    </comment>
    <comment ref="J30" authorId="0" shapeId="0" xr:uid="{17DB7197-B309-416C-B6E7-D379373EFAAD}">
      <text>
        <r>
          <rPr>
            <sz val="10"/>
            <color indexed="10"/>
            <rFont val="Arial"/>
            <family val="2"/>
          </rPr>
          <t>Income Tax / Pre-Tax Income
=Represents the percentage of pre-tax income that a company pays in taxes.</t>
        </r>
      </text>
    </comment>
    <comment ref="J32" authorId="0" shapeId="0" xr:uid="{F1A8A399-94F7-4155-9308-54D2F506C191}">
      <text>
        <r>
          <rPr>
            <sz val="10"/>
            <color indexed="10"/>
            <rFont val="Arial"/>
            <family val="2"/>
          </rPr>
          <t xml:space="preserve">(Net Income + Depreciation) / Total Liabilities
=Assesses a company’s ability to meet long-term debt obligations using after-tax cash earnings.
</t>
        </r>
      </text>
    </comment>
    <comment ref="J33" authorId="0" shapeId="0" xr:uid="{EAB0EA1E-879A-4C6B-A11D-DD90D93C2471}">
      <text>
        <r>
          <rPr>
            <sz val="10"/>
            <color indexed="10"/>
            <rFont val="Arial"/>
            <family val="2"/>
          </rPr>
          <t>Current Assets / Current Liabilities
=Shows how easily a company can pay short-term obligations with its short-term assets.</t>
        </r>
      </text>
    </comment>
    <comment ref="J34" authorId="0" shapeId="0" xr:uid="{71EE0B0D-401F-4F72-8F30-E96DF7BAD88D}">
      <text>
        <r>
          <rPr>
            <sz val="10"/>
            <color indexed="10"/>
            <rFont val="Arial"/>
            <family val="2"/>
          </rPr>
          <t>Total Debt / Equity
=Measures the proportion of company financing that comes from debt versus shareholders’ equity.</t>
        </r>
      </text>
    </comment>
    <comment ref="J35" authorId="0" shapeId="0" xr:uid="{B68C4280-8642-4C52-A381-F4B15828A280}">
      <text>
        <r>
          <rPr>
            <sz val="10"/>
            <color indexed="10"/>
            <rFont val="Arial"/>
            <family val="2"/>
          </rPr>
          <t>Total Debt / EBITDA
=Shows how many years it would take to pay off debt if EBITDA stayed constant.</t>
        </r>
      </text>
    </comment>
    <comment ref="J36" authorId="0" shapeId="0" xr:uid="{FCA2686F-A9DF-4481-9991-E4D81D2BC8A8}">
      <text>
        <r>
          <rPr>
            <sz val="10"/>
            <color indexed="10"/>
            <rFont val="Arial"/>
            <family val="2"/>
          </rPr>
          <t>(Total Debt − Cash) / Equity
=Reflects leverage after considering cash and cash equivalents on hand.</t>
        </r>
      </text>
    </comment>
    <comment ref="J37" authorId="0" shapeId="0" xr:uid="{9B26B03F-4EBB-427E-89E7-D5B1E13BBBC7}">
      <text>
        <r>
          <rPr>
            <sz val="10"/>
            <color indexed="10"/>
            <rFont val="Arial"/>
            <family val="2"/>
          </rPr>
          <t>Equity / Total Assets
=Indicates how much of a company’s assets are financed by shareholders rather than creditors.</t>
        </r>
      </text>
    </comment>
    <comment ref="J38" authorId="0" shapeId="0" xr:uid="{2F08C488-7DC0-4EC1-9FC1-D8FA829679CA}">
      <text>
        <r>
          <rPr>
            <sz val="10"/>
            <color indexed="10"/>
            <rFont val="Arial"/>
            <family val="2"/>
          </rPr>
          <t>EBIT / Interest Expense
=Shows how easily a company can pay interest expenses with its operating income.</t>
        </r>
      </text>
    </comment>
    <comment ref="J40" authorId="0" shapeId="0" xr:uid="{FA45A23F-BFF3-4C92-A896-CEF9683E8570}">
      <text>
        <r>
          <rPr>
            <sz val="10"/>
            <color indexed="10"/>
            <rFont val="Arial"/>
            <family val="2"/>
          </rPr>
          <t>Net Income / Equity
=Measures how effectively a company generates profit from shareholders’ invested capital.</t>
        </r>
      </text>
    </comment>
    <comment ref="J41" authorId="0" shapeId="0" xr:uid="{08448D07-2EAF-49E6-8C02-52A6A28E99B4}">
      <text>
        <r>
          <rPr>
            <sz val="10"/>
            <color indexed="10"/>
            <rFont val="Arial"/>
            <family val="2"/>
          </rPr>
          <t>Net Income / Total Assets
=Shows how efficiently a company uses its assets to generate profit.</t>
        </r>
      </text>
    </comment>
    <comment ref="J42" authorId="0" shapeId="0" xr:uid="{72B494E9-C792-4E95-A1BC-FD52A9E899CF}">
      <text>
        <r>
          <rPr>
            <sz val="10"/>
            <color indexed="10"/>
            <rFont val="Arial"/>
            <family val="2"/>
          </rPr>
          <t>NOPAT / Invested Capital
= Assesses how effectively capital is used to generate returns after taxes.</t>
        </r>
      </text>
    </comment>
    <comment ref="J43" authorId="0" shapeId="0" xr:uid="{053FB6FA-E64D-4A1F-ABEA-899C365C0CA9}">
      <text>
        <r>
          <rPr>
            <b/>
            <sz val="10"/>
            <color indexed="10"/>
            <rFont val="Arial"/>
            <family val="2"/>
          </rPr>
          <t xml:space="preserve">To be used if unusual expenses make net income very negative </t>
        </r>
        <r>
          <rPr>
            <sz val="10"/>
            <color indexed="10"/>
            <rFont val="Arial"/>
            <family val="2"/>
          </rPr>
          <t xml:space="preserve">
Operating Income / Total Assets
=Shows the return a company earns on its assets from operating profits before taxes.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44" authorId="0" shapeId="0" xr:uid="{12EE3583-34D1-405E-A2CD-3EEEA792C88E}">
      <text>
        <r>
          <rPr>
            <b/>
            <sz val="10"/>
            <color indexed="10"/>
            <rFont val="Arial"/>
            <family val="2"/>
          </rPr>
          <t>To be used if tax rate unusually high due to accounting stuff</t>
        </r>
        <r>
          <rPr>
            <sz val="10"/>
            <color indexed="10"/>
            <rFont val="Arial"/>
            <family val="2"/>
          </rPr>
          <t xml:space="preserve"> 
(EBIT × (1 − 0.30)) / Invested Capital
=Measures returns on invested capital assuming a maximum 30% tax rate for comparability.</t>
        </r>
      </text>
    </comment>
    <comment ref="J46" authorId="0" shapeId="0" xr:uid="{8B901860-3D6D-4FC7-BF80-AF3CBCC0588B}">
      <text>
        <r>
          <rPr>
            <sz val="10"/>
            <color indexed="10"/>
            <rFont val="Arial"/>
            <family val="2"/>
          </rPr>
          <t>Price per Share / Expected EPS
=Compares the current share price to the expected future earnings per share.</t>
        </r>
      </text>
    </comment>
    <comment ref="J47" authorId="0" shapeId="0" xr:uid="{5384AEA5-2E6B-4DBA-BE97-F45B1C682288}">
      <text>
        <r>
          <rPr>
            <sz val="10"/>
            <color indexed="10"/>
            <rFont val="Arial"/>
            <family val="2"/>
          </rPr>
          <t>Price per Share / EPS (past 12 months)
=Compares the current share price to the company’s earnings per share over the last year.</t>
        </r>
      </text>
    </comment>
    <comment ref="J48" authorId="0" shapeId="0" xr:uid="{E7A49008-B076-4AB2-94F3-A6AB342B4884}">
      <text>
        <r>
          <rPr>
            <sz val="10"/>
            <color indexed="10"/>
            <rFont val="Arial"/>
            <family val="2"/>
          </rPr>
          <t>Market Cap + Total Debt − Cash
=Represents the total value of a company including debt and cash, showing what it would cost to buy it outright.</t>
        </r>
      </text>
    </comment>
    <comment ref="J49" authorId="0" shapeId="0" xr:uid="{B5A45AA6-B2BE-4EC0-BF20-82FFBF3A6B8A}">
      <text>
        <r>
          <rPr>
            <sz val="10"/>
            <color indexed="10"/>
            <rFont val="Arial"/>
            <family val="2"/>
          </rPr>
          <t>Enterprise Value / EBITDA
=Shows how expensive a company is relative to its operating cash earnings. (multiple)</t>
        </r>
      </text>
    </comment>
    <comment ref="J50" authorId="0" shapeId="0" xr:uid="{4ECC3F46-4C77-49A2-BE3F-C1371812A800}">
      <text>
        <r>
          <rPr>
            <sz val="10"/>
            <color indexed="10"/>
            <rFont val="Arial"/>
            <family val="2"/>
          </rPr>
          <t xml:space="preserve">(P/E) / EPS Growth Rate
=Adjusts the P/E ratio for expected earnings growth to gauge value for growth potential.
</t>
        </r>
      </text>
    </comment>
    <comment ref="J52" authorId="0" shapeId="0" xr:uid="{373B95B8-E6DE-4002-96C3-BC1DB90932F1}">
      <text>
        <r>
          <rPr>
            <sz val="10"/>
            <color indexed="10"/>
            <rFont val="Arial"/>
            <family val="2"/>
          </rPr>
          <t>Free Cash Flow / Net Income
=Shows how much of a company’s net income is converted into free cash flow.</t>
        </r>
      </text>
    </comment>
    <comment ref="J53" authorId="0" shapeId="0" xr:uid="{740C4723-D064-4F0E-86FC-18C2371E9DCA}">
      <text>
        <r>
          <rPr>
            <sz val="10"/>
            <color indexed="10"/>
            <rFont val="Arial"/>
            <family val="2"/>
          </rPr>
          <t>Dividends / Net Income
=Indicates how much of profits are paid out to shareholders as dividends.</t>
        </r>
      </text>
    </comment>
    <comment ref="J54" authorId="0" shapeId="0" xr:uid="{B5080CB7-D0B9-4A26-BC4E-AED4CE78BD64}">
      <text>
        <r>
          <rPr>
            <sz val="10"/>
            <color indexed="10"/>
            <rFont val="Arial"/>
            <family val="2"/>
          </rPr>
          <t xml:space="preserve">Operating Cash Flow / EBITDA
=Measures how effectively accounting profits translate into actual cash.
</t>
        </r>
      </text>
    </comment>
    <comment ref="J56" authorId="0" shapeId="0" xr:uid="{324D728C-4A8A-4EA0-B11F-A2E0076C4A6C}">
      <text>
        <r>
          <rPr>
            <sz val="10"/>
            <color indexed="10"/>
            <rFont val="Arial"/>
            <family val="2"/>
          </rPr>
          <t>(Revenueₙ / Revenue₀)^(1/n) − 1
= Shows the average annual growth rate of sales over 3 or 5 years.</t>
        </r>
      </text>
    </comment>
    <comment ref="J57" authorId="0" shapeId="0" xr:uid="{B982A40E-B098-4519-94A0-8A52560056D6}">
      <text>
        <r>
          <rPr>
            <sz val="10"/>
            <color indexed="10"/>
            <rFont val="Arial"/>
            <family val="2"/>
          </rPr>
          <t>(Revenueₙ / Revenue₀)^(1/n) − 1
= Shows the average annual growth rate of sales over 3 or 5 years.</t>
        </r>
      </text>
    </comment>
    <comment ref="J58" authorId="0" shapeId="0" xr:uid="{B35D69D0-8748-4AC7-B447-4D200408E978}">
      <text>
        <r>
          <rPr>
            <sz val="10"/>
            <color indexed="10"/>
            <rFont val="Arial"/>
            <family val="2"/>
          </rPr>
          <t>(EPSₙ / EPS₀)^(1/n) − 1
=Measures how quickly earnings per share have grown each year over a period.</t>
        </r>
      </text>
    </comment>
    <comment ref="J59" authorId="0" shapeId="0" xr:uid="{C9EB7CC7-60F4-4D40-8D79-49746883376F}">
      <text>
        <r>
          <rPr>
            <sz val="10"/>
            <color indexed="10"/>
            <rFont val="Arial"/>
            <family val="2"/>
          </rPr>
          <t>(EPSₙ / EPS₀)^(1/n) − 1
=Measures how quickly earnings per share have grown each year over a period.</t>
        </r>
      </text>
    </comment>
    <comment ref="J60" authorId="0" shapeId="0" xr:uid="{19666EF2-A1A7-4394-B9EF-1BA24E9BA27F}">
      <text>
        <r>
          <rPr>
            <sz val="10"/>
            <color indexed="10"/>
            <rFont val="Arial"/>
            <family val="2"/>
          </rPr>
          <t>(EBITDAₙ / EBITDA₀)^(1/n) − 1
=Shows the compound annual growth rate of EBITDA over time.</t>
        </r>
      </text>
    </comment>
    <comment ref="J61" authorId="0" shapeId="0" xr:uid="{6A0B3742-B97B-4E02-AA91-EE74EC6A3AAF}">
      <text>
        <r>
          <rPr>
            <sz val="10"/>
            <color indexed="10"/>
            <rFont val="Arial"/>
            <family val="2"/>
          </rPr>
          <t>(EBITDAₙ / EBITDA₀)^(1/n) − 1
=Shows the compound annual growth rate of EBITDA over time.</t>
        </r>
      </text>
    </comment>
    <comment ref="J62" authorId="0" shapeId="0" xr:uid="{9451007B-D23F-4D3D-A26F-057A0EF23151}">
      <text>
        <r>
          <rPr>
            <sz val="10"/>
            <color indexed="10"/>
            <rFont val="Arial"/>
            <family val="2"/>
          </rPr>
          <t>(FCFₙ / FCF₀)^(1/n) − 1
=Indicates how much free cash flow has increased annually over 3 or 5 years.</t>
        </r>
      </text>
    </comment>
    <comment ref="J63" authorId="0" shapeId="0" xr:uid="{6B2B6DE3-0A4C-4F23-A205-5F575E581422}">
      <text>
        <r>
          <rPr>
            <sz val="10"/>
            <color indexed="10"/>
            <rFont val="Arial"/>
            <family val="2"/>
          </rPr>
          <t>(FCFₙ / FCF₀)^(1/n) − 1
=Indicates how much free cash flow has increased annually over 3 or 5 years.</t>
        </r>
      </text>
    </comment>
    <comment ref="J65" authorId="0" shapeId="0" xr:uid="{489CDA0F-A2B3-493C-8537-6731737288EB}">
      <text>
        <r>
          <rPr>
            <sz val="10"/>
            <color indexed="10"/>
            <rFont val="Arial"/>
            <family val="2"/>
          </rPr>
          <t>((End Price + Dividends) / Start Price)^(1/n) − 1
=Measures total shareholder return including dividends over 5 or 10 years.</t>
        </r>
      </text>
    </comment>
    <comment ref="J66" authorId="0" shapeId="0" xr:uid="{C49ED338-AC13-455F-A98F-B5F3802D2D05}">
      <text>
        <r>
          <rPr>
            <sz val="10"/>
            <color indexed="10"/>
            <rFont val="Arial"/>
            <family val="2"/>
          </rPr>
          <t>((End Price + Dividends) / Start Price)^(1/n) − 1
=Measures total shareholder return including dividends over 5 or 10 years.</t>
        </r>
      </text>
    </comment>
    <comment ref="J67" authorId="0" shapeId="0" xr:uid="{3EE39B65-C886-40DE-99E2-38B9FF423D45}">
      <text>
        <r>
          <rPr>
            <sz val="10"/>
            <color indexed="10"/>
            <rFont val="Arial"/>
            <family val="2"/>
          </rPr>
          <t>(End Value / Start Value)^(1/n) − 1
=Represents the average annual growth in shareholder wealth (price + dividends).</t>
        </r>
      </text>
    </comment>
    <comment ref="J69" authorId="0" shapeId="0" xr:uid="{07BD4E90-A1C3-4E1D-AEAE-FC608D50AEAC}">
      <text>
        <r>
          <rPr>
            <sz val="10"/>
            <color indexed="10"/>
            <rFont val="Arial"/>
            <family val="2"/>
          </rPr>
          <t xml:space="preserve">Risk-Free Rate + </t>
        </r>
        <r>
          <rPr>
            <b/>
            <sz val="10"/>
            <color indexed="10"/>
            <rFont val="Arial"/>
            <family val="2"/>
          </rPr>
          <t>β</t>
        </r>
        <r>
          <rPr>
            <sz val="10"/>
            <color indexed="10"/>
            <rFont val="Arial"/>
            <family val="2"/>
          </rPr>
          <t xml:space="preserve"> × (Market Return − Risk-Free Rate)
=Estimates the return investors expect based on risk compared to the market.</t>
        </r>
      </text>
    </comment>
    <comment ref="J71" authorId="0" shapeId="0" xr:uid="{D18ED03D-FF5F-40AF-B829-82FCABF981E1}">
      <text>
        <r>
          <rPr>
            <sz val="10"/>
            <color indexed="10"/>
            <rFont val="Arial"/>
            <family val="2"/>
          </rPr>
          <t>r(=RRR) - (expected dividend next year) / (current share price)
=Shows the growth rate implied by the current stock price and dividends.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72" authorId="0" shapeId="0" xr:uid="{43882A99-CCE3-4262-A7FC-39622D1F360C}">
      <text>
        <r>
          <rPr>
            <sz val="10"/>
            <color indexed="10"/>
            <rFont val="Arial"/>
            <family val="2"/>
          </rPr>
          <t>r - (FCF next year)* / (Current EV)
*assuming constant growth to simplify
= Estimates growth based on the enterprise value and projected cash flows.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<sst xmlns="http://schemas.openxmlformats.org/spreadsheetml/2006/main" count="150" uniqueCount="116">
  <si>
    <t>[COMPANY NAME (TICKER)]</t>
  </si>
  <si>
    <t>Current</t>
  </si>
  <si>
    <t>FYN0</t>
  </si>
  <si>
    <t>FY(N-1)</t>
  </si>
  <si>
    <t>FY(N-2)</t>
  </si>
  <si>
    <t>FY(N-3)</t>
  </si>
  <si>
    <t>FY(N-4)</t>
  </si>
  <si>
    <t>FY(N-5)</t>
  </si>
  <si>
    <t xml:space="preserve"> = Output</t>
  </si>
  <si>
    <t>Share price</t>
  </si>
  <si>
    <t xml:space="preserve"> =  Input</t>
  </si>
  <si>
    <t>Risk free rate estimate</t>
  </si>
  <si>
    <t>Expected return of market</t>
  </si>
  <si>
    <t># shares</t>
  </si>
  <si>
    <t>Forward EPS</t>
  </si>
  <si>
    <t>Beta</t>
  </si>
  <si>
    <t>Market cap</t>
  </si>
  <si>
    <t>Income statement</t>
  </si>
  <si>
    <t>TTM</t>
  </si>
  <si>
    <t>Cash Flow</t>
  </si>
  <si>
    <t>Revenue</t>
  </si>
  <si>
    <t>Depreciation &amp; Amortization</t>
  </si>
  <si>
    <t>Cost of revenue</t>
  </si>
  <si>
    <t>Operating Cash Flow</t>
  </si>
  <si>
    <t>Gross profit</t>
  </si>
  <si>
    <t>Capital expenditures</t>
  </si>
  <si>
    <t>Operating expenses</t>
  </si>
  <si>
    <t xml:space="preserve">Operating income </t>
  </si>
  <si>
    <t>Interest expenses</t>
  </si>
  <si>
    <t>Dividends</t>
  </si>
  <si>
    <t>Pretax income</t>
  </si>
  <si>
    <t>Dividend per share</t>
  </si>
  <si>
    <t>Income Tax Expense</t>
  </si>
  <si>
    <t>Dividend yield</t>
  </si>
  <si>
    <t>Net income</t>
  </si>
  <si>
    <t>Dividends paid</t>
  </si>
  <si>
    <t>EPS</t>
  </si>
  <si>
    <t>Dividend growth</t>
  </si>
  <si>
    <t>FCF</t>
  </si>
  <si>
    <t>FCF/share</t>
  </si>
  <si>
    <t>EBIT</t>
  </si>
  <si>
    <t>EBITDA</t>
  </si>
  <si>
    <t>Balance sheet</t>
  </si>
  <si>
    <t xml:space="preserve">Ratios </t>
  </si>
  <si>
    <t>Net cash &amp; short-term investments</t>
  </si>
  <si>
    <t>Profitability ratios</t>
  </si>
  <si>
    <t>Current assets</t>
  </si>
  <si>
    <t>Gross Margin</t>
  </si>
  <si>
    <t>Long-term assets</t>
  </si>
  <si>
    <t>Operating Margin</t>
  </si>
  <si>
    <t>Total assets</t>
  </si>
  <si>
    <t>Profit (Net) Margin</t>
  </si>
  <si>
    <t>Current liabilities</t>
  </si>
  <si>
    <t>EBITDA Margin</t>
  </si>
  <si>
    <t>Long-term liabilities</t>
  </si>
  <si>
    <t>EBIT Margin</t>
  </si>
  <si>
    <t>Total liabilities</t>
  </si>
  <si>
    <t>FCF Margin</t>
  </si>
  <si>
    <t>Shareholders' equity</t>
  </si>
  <si>
    <t>Tax Rate</t>
  </si>
  <si>
    <t>Total debt</t>
  </si>
  <si>
    <t>Liquidity &amp; Solvency Ratios</t>
  </si>
  <si>
    <t>Net Cash (Debt)</t>
  </si>
  <si>
    <t>Solvency Ratio</t>
  </si>
  <si>
    <t>(Net) Working Capital</t>
  </si>
  <si>
    <t>Current ratio</t>
  </si>
  <si>
    <t>Book Value / Share</t>
  </si>
  <si>
    <t xml:space="preserve">Debt/Equity </t>
  </si>
  <si>
    <t>NOPAT</t>
  </si>
  <si>
    <t xml:space="preserve">Debt/EBITDA </t>
  </si>
  <si>
    <t>Invested capital estimate</t>
  </si>
  <si>
    <t>FYI:</t>
  </si>
  <si>
    <t>Net debt/Equity</t>
  </si>
  <si>
    <t>E+05 = 100.000</t>
  </si>
  <si>
    <t>Equity ratio</t>
  </si>
  <si>
    <t>E+06 = 1M</t>
  </si>
  <si>
    <t>Interest coverage</t>
  </si>
  <si>
    <t>E+07 = 10M</t>
  </si>
  <si>
    <t>Return Ratios</t>
  </si>
  <si>
    <t>E+08 = 100M</t>
  </si>
  <si>
    <t>ROE</t>
  </si>
  <si>
    <t>E+09 = 1B</t>
  </si>
  <si>
    <t>ROA</t>
  </si>
  <si>
    <t>ROIC</t>
  </si>
  <si>
    <t>Operating ROA</t>
  </si>
  <si>
    <t>Adjusted ROIC (Tax capped at 30%)</t>
  </si>
  <si>
    <t>Valuation Ratios</t>
  </si>
  <si>
    <t>Forward P/E</t>
  </si>
  <si>
    <t>Trailing P/E</t>
  </si>
  <si>
    <t>EV</t>
  </si>
  <si>
    <t>EV/EBITDA</t>
  </si>
  <si>
    <t>PEG Ratio</t>
  </si>
  <si>
    <t>Cash Flow Efficiency</t>
  </si>
  <si>
    <t>FCF Conversion (%)</t>
  </si>
  <si>
    <t>Dividend payout ratio</t>
  </si>
  <si>
    <t>Cash Conversion (%)</t>
  </si>
  <si>
    <t>Growth Metrics</t>
  </si>
  <si>
    <t>Revenue CAGR 3Y</t>
  </si>
  <si>
    <t>Revenue CAGR 5Y</t>
  </si>
  <si>
    <t>EPS CAGR 3Y</t>
  </si>
  <si>
    <t>EPS CAGR 5Y</t>
  </si>
  <si>
    <t>EBITDA CAGR 3Y</t>
  </si>
  <si>
    <t>EBITDA CAGR 5Y</t>
  </si>
  <si>
    <t>FCF CAGR 3Y</t>
  </si>
  <si>
    <t>FCF CAGR 5Y</t>
  </si>
  <si>
    <t>Shareholder Returns</t>
  </si>
  <si>
    <t>TSR 5Y</t>
  </si>
  <si>
    <t>Stock-Price 31/12/FY(N-4)</t>
  </si>
  <si>
    <t>TSR 10Y</t>
  </si>
  <si>
    <t>Stock price 31/12/FY(N-9)</t>
  </si>
  <si>
    <t>CAGR of Shareholder Value</t>
  </si>
  <si>
    <t>Risk &amp; Implied Rates</t>
  </si>
  <si>
    <t>Required Rate of Return (CAPM)</t>
  </si>
  <si>
    <t>Weighted Avg Cost of Capital (WACC)</t>
  </si>
  <si>
    <t>Implied Growth Rate (Reverse DDC)</t>
  </si>
  <si>
    <t>Implied Growth Rate (Reverse DCF)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</si>
</sst>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0"/>
      <color indexed="10"/>
      <name val="Arial"/>
      <family val="2"/>
    </font>
    <font>
      <sz val="10"/>
      <color indexed="81"/>
      <name val="Tahoma"/>
      <family val="2"/>
    </font>
    <font>
      <b/>
      <sz val="10"/>
      <color indexed="10"/>
      <name val="Arial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darkUp">
        <fgColor auto="1"/>
        <bgColor theme="6" tint="0.59999389629810485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4" fontId="2" fillId="2" borderId="1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3" fillId="4" borderId="5" xfId="0" applyNumberFormat="1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4" fontId="4" fillId="5" borderId="7" xfId="0" applyNumberFormat="1" applyFont="1" applyFill="1" applyBorder="1" applyAlignment="1">
      <alignment horizontal="center" vertical="center"/>
    </xf>
    <xf numFmtId="4" fontId="4" fillId="5" borderId="8" xfId="0" applyNumberFormat="1" applyFont="1" applyFill="1" applyBorder="1" applyAlignment="1">
      <alignment horizontal="center" vertical="center"/>
    </xf>
    <xf numFmtId="4" fontId="3" fillId="5" borderId="9" xfId="0" applyNumberFormat="1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  <xf numFmtId="4" fontId="4" fillId="4" borderId="10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 wrapText="1"/>
    </xf>
    <xf numFmtId="4" fontId="3" fillId="3" borderId="11" xfId="0" applyNumberFormat="1" applyFont="1" applyFill="1" applyBorder="1" applyAlignment="1">
      <alignment horizontal="center" vertical="center"/>
    </xf>
    <xf numFmtId="4" fontId="4" fillId="5" borderId="10" xfId="0" applyNumberFormat="1" applyFont="1" applyFill="1" applyBorder="1" applyAlignment="1">
      <alignment horizontal="center" vertical="center"/>
    </xf>
    <xf numFmtId="4" fontId="4" fillId="6" borderId="12" xfId="0" applyNumberFormat="1" applyFont="1" applyFill="1" applyBorder="1" applyAlignment="1">
      <alignment horizontal="center" vertical="center"/>
    </xf>
    <xf numFmtId="4" fontId="3" fillId="3" borderId="13" xfId="0" applyNumberFormat="1" applyFont="1" applyFill="1" applyBorder="1" applyAlignment="1">
      <alignment horizontal="center" vertical="center"/>
    </xf>
    <xf numFmtId="4" fontId="3" fillId="3" borderId="9" xfId="0" applyNumberFormat="1" applyFont="1" applyFill="1" applyBorder="1" applyAlignment="1">
      <alignment horizontal="center" vertical="center"/>
    </xf>
    <xf numFmtId="4" fontId="4" fillId="4" borderId="12" xfId="0" applyNumberFormat="1" applyFont="1" applyFill="1" applyBorder="1" applyAlignment="1">
      <alignment horizontal="center" vertical="center"/>
    </xf>
    <xf numFmtId="4" fontId="4" fillId="5" borderId="14" xfId="0" applyNumberFormat="1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 wrapText="1"/>
    </xf>
    <xf numFmtId="4" fontId="0" fillId="5" borderId="7" xfId="0" applyNumberFormat="1" applyFill="1" applyBorder="1" applyAlignment="1">
      <alignment horizontal="center" vertical="center"/>
    </xf>
    <xf numFmtId="4" fontId="0" fillId="5" borderId="8" xfId="0" applyNumberFormat="1" applyFill="1" applyBorder="1" applyAlignment="1">
      <alignment horizontal="center" vertical="center"/>
    </xf>
    <xf numFmtId="4" fontId="4" fillId="3" borderId="11" xfId="0" applyNumberFormat="1" applyFont="1" applyFill="1" applyBorder="1" applyAlignment="1">
      <alignment horizontal="center" vertical="center"/>
    </xf>
    <xf numFmtId="4" fontId="4" fillId="5" borderId="12" xfId="0" applyNumberFormat="1" applyFont="1" applyFill="1" applyBorder="1" applyAlignment="1">
      <alignment horizontal="center" vertical="center"/>
    </xf>
    <xf numFmtId="4" fontId="4" fillId="5" borderId="15" xfId="0" applyNumberFormat="1" applyFont="1" applyFill="1" applyBorder="1" applyAlignment="1">
      <alignment horizontal="center" vertical="center"/>
    </xf>
    <xf numFmtId="4" fontId="0" fillId="5" borderId="10" xfId="0" applyNumberFormat="1" applyFill="1" applyBorder="1" applyAlignment="1">
      <alignment horizontal="center" vertical="center"/>
    </xf>
    <xf numFmtId="4" fontId="0" fillId="5" borderId="12" xfId="0" applyNumberFormat="1" applyFill="1" applyBorder="1" applyAlignment="1">
      <alignment horizontal="center" vertical="center"/>
    </xf>
    <xf numFmtId="4" fontId="4" fillId="4" borderId="15" xfId="0" applyNumberFormat="1" applyFont="1" applyFill="1" applyBorder="1" applyAlignment="1">
      <alignment horizontal="center" vertical="center"/>
    </xf>
    <xf numFmtId="4" fontId="4" fillId="3" borderId="9" xfId="0" applyNumberFormat="1" applyFont="1" applyFill="1" applyBorder="1" applyAlignment="1">
      <alignment horizontal="center" vertical="center"/>
    </xf>
    <xf numFmtId="4" fontId="4" fillId="3" borderId="6" xfId="0" applyNumberFormat="1" applyFont="1" applyFill="1" applyBorder="1" applyAlignment="1">
      <alignment horizontal="center" vertical="center"/>
    </xf>
    <xf numFmtId="10" fontId="4" fillId="4" borderId="10" xfId="1" applyNumberFormat="1" applyFont="1" applyFill="1" applyBorder="1" applyAlignment="1">
      <alignment horizontal="center" vertical="center"/>
    </xf>
    <xf numFmtId="10" fontId="4" fillId="4" borderId="12" xfId="1" applyNumberFormat="1" applyFont="1" applyFill="1" applyBorder="1" applyAlignment="1">
      <alignment horizontal="center" vertical="center"/>
    </xf>
    <xf numFmtId="4" fontId="4" fillId="4" borderId="16" xfId="0" applyNumberFormat="1" applyFont="1" applyFill="1" applyBorder="1" applyAlignment="1">
      <alignment horizontal="center" vertical="center"/>
    </xf>
    <xf numFmtId="4" fontId="4" fillId="4" borderId="17" xfId="0" applyNumberFormat="1" applyFont="1" applyFill="1" applyBorder="1" applyAlignment="1">
      <alignment horizontal="center" vertical="center"/>
    </xf>
    <xf numFmtId="4" fontId="4" fillId="4" borderId="18" xfId="0" applyNumberFormat="1" applyFont="1" applyFill="1" applyBorder="1" applyAlignment="1">
      <alignment horizontal="center" vertical="center"/>
    </xf>
    <xf numFmtId="4" fontId="4" fillId="6" borderId="0" xfId="0" applyNumberFormat="1" applyFont="1" applyFill="1" applyAlignment="1">
      <alignment horizontal="center" vertical="center"/>
    </xf>
    <xf numFmtId="4" fontId="2" fillId="2" borderId="19" xfId="0" applyNumberFormat="1" applyFont="1" applyFill="1" applyBorder="1" applyAlignment="1">
      <alignment horizontal="center" vertical="center" wrapText="1"/>
    </xf>
    <xf numFmtId="4" fontId="3" fillId="3" borderId="20" xfId="0" applyNumberFormat="1" applyFont="1" applyFill="1" applyBorder="1" applyAlignment="1">
      <alignment horizontal="center" vertical="center"/>
    </xf>
    <xf numFmtId="4" fontId="3" fillId="3" borderId="21" xfId="0" applyNumberFormat="1" applyFont="1" applyFill="1" applyBorder="1" applyAlignment="1">
      <alignment horizontal="center" vertical="center"/>
    </xf>
    <xf numFmtId="4" fontId="3" fillId="3" borderId="22" xfId="0" applyNumberFormat="1" applyFont="1" applyFill="1" applyBorder="1" applyAlignment="1">
      <alignment horizontal="center" vertical="center"/>
    </xf>
    <xf numFmtId="4" fontId="4" fillId="3" borderId="6" xfId="0" applyNumberFormat="1" applyFont="1" applyFill="1" applyBorder="1" applyAlignment="1">
      <alignment horizontal="center" vertical="center" wrapText="1"/>
    </xf>
    <xf numFmtId="4" fontId="5" fillId="7" borderId="12" xfId="0" applyNumberFormat="1" applyFont="1" applyFill="1" applyBorder="1" applyAlignment="1">
      <alignment horizontal="center" vertical="center" wrapText="1"/>
    </xf>
    <xf numFmtId="4" fontId="3" fillId="8" borderId="12" xfId="0" applyNumberFormat="1" applyFont="1" applyFill="1" applyBorder="1" applyAlignment="1">
      <alignment horizontal="center" vertical="center"/>
    </xf>
    <xf numFmtId="4" fontId="4" fillId="3" borderId="12" xfId="0" applyNumberFormat="1" applyFont="1" applyFill="1" applyBorder="1" applyAlignment="1">
      <alignment horizontal="center" vertical="center"/>
    </xf>
    <xf numFmtId="10" fontId="3" fillId="4" borderId="12" xfId="1" applyNumberFormat="1" applyFont="1" applyFill="1" applyBorder="1" applyAlignment="1">
      <alignment horizontal="center" vertical="center"/>
    </xf>
    <xf numFmtId="2" fontId="3" fillId="4" borderId="12" xfId="1" applyNumberFormat="1" applyFont="1" applyFill="1" applyBorder="1" applyAlignment="1">
      <alignment horizontal="center" vertical="center"/>
    </xf>
    <xf numFmtId="4" fontId="4" fillId="5" borderId="16" xfId="0" applyNumberFormat="1" applyFont="1" applyFill="1" applyBorder="1" applyAlignment="1">
      <alignment horizontal="center" vertical="center"/>
    </xf>
    <xf numFmtId="4" fontId="4" fillId="5" borderId="17" xfId="0" applyNumberFormat="1" applyFont="1" applyFill="1" applyBorder="1" applyAlignment="1">
      <alignment horizontal="center" vertical="center"/>
    </xf>
    <xf numFmtId="4" fontId="4" fillId="5" borderId="18" xfId="0" applyNumberFormat="1" applyFont="1" applyFill="1" applyBorder="1" applyAlignment="1">
      <alignment horizontal="center" vertical="center"/>
    </xf>
    <xf numFmtId="4" fontId="3" fillId="4" borderId="12" xfId="0" applyNumberFormat="1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4" fontId="9" fillId="3" borderId="12" xfId="0" applyNumberFormat="1" applyFont="1" applyFill="1" applyBorder="1" applyAlignment="1">
      <alignment horizontal="center" vertical="center" wrapText="1"/>
    </xf>
    <xf numFmtId="164" fontId="10" fillId="4" borderId="12" xfId="1" applyNumberFormat="1" applyFont="1" applyFill="1" applyBorder="1" applyAlignment="1">
      <alignment horizontal="center" vertical="center"/>
    </xf>
    <xf numFmtId="4" fontId="3" fillId="6" borderId="12" xfId="0" applyNumberFormat="1" applyFont="1" applyFill="1" applyBorder="1" applyAlignment="1">
      <alignment horizontal="center" vertical="center"/>
    </xf>
    <xf numFmtId="4" fontId="3" fillId="4" borderId="12" xfId="1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4" fillId="3" borderId="12" xfId="0" applyNumberFormat="1" applyFont="1" applyFill="1" applyBorder="1" applyAlignment="1">
      <alignment horizontal="center" vertical="center" wrapText="1"/>
    </xf>
    <xf numFmtId="164" fontId="3" fillId="4" borderId="12" xfId="1" applyNumberFormat="1" applyFont="1" applyFill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 vertical="center"/>
    </xf>
    <xf numFmtId="4" fontId="3" fillId="0" borderId="25" xfId="0" applyNumberFormat="1" applyFont="1" applyBorder="1" applyAlignment="1">
      <alignment horizontal="center" vertical="center"/>
    </xf>
    <xf numFmtId="4" fontId="3" fillId="0" borderId="26" xfId="0" applyNumberFormat="1" applyFont="1" applyBorder="1" applyAlignment="1">
      <alignment horizontal="center" vertical="center"/>
    </xf>
    <xf numFmtId="4" fontId="3" fillId="0" borderId="27" xfId="0" applyNumberFormat="1" applyFont="1" applyBorder="1" applyAlignment="1">
      <alignment horizontal="center" vertical="center"/>
    </xf>
    <xf numFmtId="4" fontId="3" fillId="0" borderId="28" xfId="0" applyNumberFormat="1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ont>
        <color rgb="FFC00000"/>
      </font>
    </dxf>
    <dxf>
      <numFmt numFmtId="15" formatCode="0.00E+00"/>
    </dxf>
    <dxf>
      <numFmt numFmtId="15" formatCode="0.00E+00"/>
    </dxf>
    <dxf>
      <font>
        <color theme="0"/>
      </font>
    </dxf>
    <dxf>
      <font>
        <color theme="0"/>
      </font>
    </dxf>
    <dxf>
      <font>
        <color rgb="FFC00000"/>
      </font>
    </dxf>
    <dxf>
      <numFmt numFmtId="15" formatCode="0.00E+00"/>
    </dxf>
    <dxf>
      <numFmt numFmtId="15" formatCode="0.00E+00"/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F804-84B6-4FD6-93C0-8B7643A7A604}">
  <dimension ref="A1:Y72"/>
  <sheetViews>
    <sheetView tabSelected="1" zoomScale="55" zoomScaleNormal="55" workbookViewId="0"/>
  </sheetViews>
  <sheetFormatPr defaultColWidth="8.85546875" defaultRowHeight="30.6" customHeight="1"/>
  <cols>
    <col min="1" max="1" width="26.28515625" style="5" customWidth="1"/>
    <col min="2" max="8" width="23.28515625" style="5" customWidth="1"/>
    <col min="9" max="9" width="8.85546875" style="5"/>
    <col min="10" max="10" width="26.85546875" style="5" customWidth="1"/>
    <col min="11" max="17" width="16.5703125" style="5" customWidth="1"/>
    <col min="18" max="18" width="18.28515625" style="5" customWidth="1"/>
    <col min="19" max="20" width="14.7109375" style="5" bestFit="1" customWidth="1"/>
    <col min="21" max="21" width="13.85546875" style="5" bestFit="1" customWidth="1"/>
    <col min="22" max="25" width="14" style="5" bestFit="1" customWidth="1"/>
    <col min="26" max="16384" width="8.85546875" style="5"/>
  </cols>
  <sheetData>
    <row r="1" spans="1:18" ht="22.9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J1" s="6" t="s">
        <v>8</v>
      </c>
    </row>
    <row r="2" spans="1:18" ht="31.9" customHeight="1" thickBot="1">
      <c r="A2" s="7" t="s">
        <v>9</v>
      </c>
      <c r="B2" s="8"/>
      <c r="C2" s="9"/>
      <c r="D2" s="9"/>
      <c r="E2" s="9"/>
      <c r="F2" s="9"/>
      <c r="G2" s="9"/>
      <c r="H2" s="9"/>
      <c r="J2" s="10" t="s">
        <v>10</v>
      </c>
      <c r="O2" s="11" t="s">
        <v>11</v>
      </c>
      <c r="P2" s="12">
        <v>2.6370000000000001E-2</v>
      </c>
      <c r="Q2" s="13" t="s">
        <v>12</v>
      </c>
      <c r="R2" s="12">
        <v>8.5000000000000006E-2</v>
      </c>
    </row>
    <row r="3" spans="1:18" ht="22.15" customHeight="1" thickBot="1">
      <c r="A3" s="14" t="s">
        <v>13</v>
      </c>
      <c r="B3" s="15"/>
      <c r="C3" s="16"/>
      <c r="D3" s="16"/>
      <c r="E3" s="16"/>
      <c r="F3" s="16"/>
      <c r="G3" s="16"/>
      <c r="H3" s="16"/>
      <c r="J3" s="17" t="s">
        <v>14</v>
      </c>
      <c r="K3" s="12" t="e">
        <f>$B$16*(1+$K$59)</f>
        <v>#DIV/0!</v>
      </c>
      <c r="O3" s="18" t="s">
        <v>15</v>
      </c>
      <c r="P3" s="15"/>
    </row>
    <row r="4" spans="1:18" ht="22.15" customHeight="1" thickBot="1">
      <c r="A4" s="18" t="s">
        <v>16</v>
      </c>
      <c r="B4" s="12">
        <f t="shared" ref="B4:H4" si="0">B$2*$B$3</f>
        <v>0</v>
      </c>
      <c r="C4" s="19">
        <f t="shared" si="0"/>
        <v>0</v>
      </c>
      <c r="D4" s="19">
        <f t="shared" si="0"/>
        <v>0</v>
      </c>
      <c r="E4" s="19">
        <f t="shared" si="0"/>
        <v>0</v>
      </c>
      <c r="F4" s="19">
        <f t="shared" si="0"/>
        <v>0</v>
      </c>
      <c r="G4" s="19">
        <f t="shared" si="0"/>
        <v>0</v>
      </c>
      <c r="H4" s="19">
        <f t="shared" si="0"/>
        <v>0</v>
      </c>
    </row>
    <row r="5" spans="1:18" ht="22.15" customHeight="1" thickBot="1"/>
    <row r="6" spans="1:18" ht="22.15" customHeight="1" thickBot="1">
      <c r="A6" s="1" t="s">
        <v>17</v>
      </c>
      <c r="B6" s="2" t="s">
        <v>18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4" t="s">
        <v>7</v>
      </c>
      <c r="J6" s="1" t="s">
        <v>19</v>
      </c>
      <c r="K6" s="2" t="s">
        <v>18</v>
      </c>
      <c r="L6" s="3" t="s">
        <v>2</v>
      </c>
      <c r="M6" s="3" t="s">
        <v>3</v>
      </c>
      <c r="N6" s="3" t="s">
        <v>4</v>
      </c>
      <c r="O6" s="3" t="s">
        <v>5</v>
      </c>
      <c r="P6" s="3" t="s">
        <v>6</v>
      </c>
      <c r="Q6" s="4" t="s">
        <v>7</v>
      </c>
    </row>
    <row r="7" spans="1:18" ht="22.15" customHeight="1">
      <c r="A7" s="7" t="s">
        <v>20</v>
      </c>
      <c r="B7" s="8"/>
      <c r="C7" s="9"/>
      <c r="D7" s="9"/>
      <c r="E7" s="9"/>
      <c r="F7" s="9"/>
      <c r="G7" s="9"/>
      <c r="H7" s="20"/>
      <c r="J7" s="21" t="s">
        <v>21</v>
      </c>
      <c r="K7" s="22"/>
      <c r="L7" s="23"/>
      <c r="M7" s="23"/>
      <c r="N7" s="23"/>
      <c r="O7" s="23"/>
      <c r="P7" s="23"/>
      <c r="Q7" s="23"/>
    </row>
    <row r="8" spans="1:18" ht="22.15" customHeight="1">
      <c r="A8" s="24" t="s">
        <v>22</v>
      </c>
      <c r="B8" s="15"/>
      <c r="C8" s="25"/>
      <c r="D8" s="25"/>
      <c r="E8" s="25"/>
      <c r="F8" s="25"/>
      <c r="G8" s="25"/>
      <c r="H8" s="26"/>
      <c r="J8" s="24" t="s">
        <v>23</v>
      </c>
      <c r="K8" s="27"/>
      <c r="L8" s="28"/>
      <c r="M8" s="28"/>
      <c r="N8" s="28"/>
      <c r="O8" s="28"/>
      <c r="P8" s="28"/>
      <c r="Q8" s="28"/>
    </row>
    <row r="9" spans="1:18" ht="22.15" customHeight="1" thickBot="1">
      <c r="A9" s="14" t="s">
        <v>24</v>
      </c>
      <c r="B9" s="12">
        <f>B$7-B$8</f>
        <v>0</v>
      </c>
      <c r="C9" s="19">
        <f t="shared" ref="C9:H9" si="1">C$7-C$8</f>
        <v>0</v>
      </c>
      <c r="D9" s="19">
        <f t="shared" si="1"/>
        <v>0</v>
      </c>
      <c r="E9" s="19">
        <f t="shared" si="1"/>
        <v>0</v>
      </c>
      <c r="F9" s="19">
        <f t="shared" si="1"/>
        <v>0</v>
      </c>
      <c r="G9" s="19">
        <f t="shared" si="1"/>
        <v>0</v>
      </c>
      <c r="H9" s="29">
        <f t="shared" si="1"/>
        <v>0</v>
      </c>
      <c r="J9" s="30" t="s">
        <v>25</v>
      </c>
      <c r="K9" s="27"/>
      <c r="L9" s="28"/>
      <c r="M9" s="28"/>
      <c r="N9" s="28"/>
      <c r="O9" s="28"/>
      <c r="P9" s="28"/>
      <c r="Q9" s="28"/>
    </row>
    <row r="10" spans="1:18" ht="22.15" customHeight="1">
      <c r="A10" s="24" t="s">
        <v>26</v>
      </c>
      <c r="B10" s="15"/>
      <c r="C10" s="25"/>
      <c r="D10" s="25"/>
      <c r="E10" s="25"/>
      <c r="F10" s="25"/>
      <c r="G10" s="25"/>
      <c r="H10" s="26"/>
    </row>
    <row r="11" spans="1:18" ht="22.15" customHeight="1" thickBot="1">
      <c r="A11" s="14" t="s">
        <v>27</v>
      </c>
      <c r="B11" s="12">
        <f t="shared" ref="B11:H11" si="2">B$7-B$8-B$10</f>
        <v>0</v>
      </c>
      <c r="C11" s="19">
        <f t="shared" si="2"/>
        <v>0</v>
      </c>
      <c r="D11" s="19">
        <f t="shared" si="2"/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29">
        <f t="shared" si="2"/>
        <v>0</v>
      </c>
    </row>
    <row r="12" spans="1:18" ht="22.15" customHeight="1" thickBot="1">
      <c r="A12" s="24" t="s">
        <v>28</v>
      </c>
      <c r="B12" s="15"/>
      <c r="C12" s="15"/>
      <c r="D12" s="15"/>
      <c r="E12" s="15"/>
      <c r="F12" s="15"/>
      <c r="G12" s="15"/>
      <c r="H12" s="15"/>
      <c r="J12" s="1" t="s">
        <v>29</v>
      </c>
      <c r="K12" s="2" t="s">
        <v>18</v>
      </c>
      <c r="L12" s="3" t="s">
        <v>2</v>
      </c>
      <c r="M12" s="3" t="s">
        <v>3</v>
      </c>
      <c r="N12" s="3" t="s">
        <v>4</v>
      </c>
      <c r="O12" s="3" t="s">
        <v>5</v>
      </c>
      <c r="P12" s="3" t="s">
        <v>6</v>
      </c>
      <c r="Q12" s="4" t="s">
        <v>7</v>
      </c>
    </row>
    <row r="13" spans="1:18" ht="22.15" customHeight="1">
      <c r="A13" s="14" t="s">
        <v>30</v>
      </c>
      <c r="B13" s="12">
        <f t="shared" ref="B13:H13" si="3">B$15+B$14</f>
        <v>0</v>
      </c>
      <c r="C13" s="19">
        <f t="shared" si="3"/>
        <v>0</v>
      </c>
      <c r="D13" s="19">
        <f t="shared" si="3"/>
        <v>0</v>
      </c>
      <c r="E13" s="19">
        <f t="shared" si="3"/>
        <v>0</v>
      </c>
      <c r="F13" s="19">
        <f t="shared" si="3"/>
        <v>0</v>
      </c>
      <c r="G13" s="19">
        <f t="shared" si="3"/>
        <v>0</v>
      </c>
      <c r="H13" s="29">
        <f t="shared" si="3"/>
        <v>0</v>
      </c>
      <c r="J13" s="31" t="s">
        <v>31</v>
      </c>
      <c r="K13" s="8"/>
      <c r="L13" s="9"/>
      <c r="M13" s="9"/>
      <c r="N13" s="9"/>
      <c r="O13" s="9"/>
      <c r="P13" s="9"/>
      <c r="Q13" s="9"/>
    </row>
    <row r="14" spans="1:18" ht="22.15" customHeight="1">
      <c r="A14" s="24" t="s">
        <v>32</v>
      </c>
      <c r="B14" s="15"/>
      <c r="C14" s="25"/>
      <c r="D14" s="25"/>
      <c r="E14" s="25"/>
      <c r="F14" s="25"/>
      <c r="G14" s="25"/>
      <c r="H14" s="26"/>
      <c r="J14" s="14" t="s">
        <v>33</v>
      </c>
      <c r="K14" s="32" t="e">
        <f t="shared" ref="K14:Q14" si="4">K$13/B$2</f>
        <v>#DIV/0!</v>
      </c>
      <c r="L14" s="33" t="e">
        <f t="shared" si="4"/>
        <v>#DIV/0!</v>
      </c>
      <c r="M14" s="33" t="e">
        <f t="shared" si="4"/>
        <v>#DIV/0!</v>
      </c>
      <c r="N14" s="33" t="e">
        <f t="shared" si="4"/>
        <v>#DIV/0!</v>
      </c>
      <c r="O14" s="33" t="e">
        <f t="shared" si="4"/>
        <v>#DIV/0!</v>
      </c>
      <c r="P14" s="33" t="e">
        <f t="shared" si="4"/>
        <v>#DIV/0!</v>
      </c>
      <c r="Q14" s="33" t="e">
        <f t="shared" si="4"/>
        <v>#DIV/0!</v>
      </c>
    </row>
    <row r="15" spans="1:18" ht="22.15" customHeight="1">
      <c r="A15" s="14" t="s">
        <v>34</v>
      </c>
      <c r="B15" s="15"/>
      <c r="C15" s="25"/>
      <c r="D15" s="25"/>
      <c r="E15" s="25"/>
      <c r="F15" s="25"/>
      <c r="G15" s="25"/>
      <c r="H15" s="26"/>
      <c r="J15" s="24" t="s">
        <v>35</v>
      </c>
      <c r="K15" s="12">
        <f t="shared" ref="K15:Q15" si="5">K$13*$B$3</f>
        <v>0</v>
      </c>
      <c r="L15" s="19">
        <f t="shared" si="5"/>
        <v>0</v>
      </c>
      <c r="M15" s="19">
        <f t="shared" si="5"/>
        <v>0</v>
      </c>
      <c r="N15" s="19">
        <f t="shared" si="5"/>
        <v>0</v>
      </c>
      <c r="O15" s="19">
        <f t="shared" si="5"/>
        <v>0</v>
      </c>
      <c r="P15" s="19">
        <f t="shared" si="5"/>
        <v>0</v>
      </c>
      <c r="Q15" s="19">
        <f t="shared" si="5"/>
        <v>0</v>
      </c>
    </row>
    <row r="16" spans="1:18" ht="22.15" customHeight="1" thickBot="1">
      <c r="A16" s="18" t="s">
        <v>36</v>
      </c>
      <c r="B16" s="34" t="e">
        <f t="shared" ref="B16:H16" si="6">B$15/$B$3</f>
        <v>#DIV/0!</v>
      </c>
      <c r="C16" s="35" t="e">
        <f t="shared" si="6"/>
        <v>#DIV/0!</v>
      </c>
      <c r="D16" s="35" t="e">
        <f t="shared" si="6"/>
        <v>#DIV/0!</v>
      </c>
      <c r="E16" s="35" t="e">
        <f t="shared" si="6"/>
        <v>#DIV/0!</v>
      </c>
      <c r="F16" s="35" t="e">
        <f t="shared" si="6"/>
        <v>#DIV/0!</v>
      </c>
      <c r="G16" s="35" t="e">
        <f t="shared" si="6"/>
        <v>#DIV/0!</v>
      </c>
      <c r="H16" s="36" t="e">
        <f t="shared" si="6"/>
        <v>#DIV/0!</v>
      </c>
      <c r="J16" s="30" t="s">
        <v>37</v>
      </c>
      <c r="K16" s="32" t="e">
        <f t="shared" ref="K16:P16" si="7">K$13/L$13-1</f>
        <v>#DIV/0!</v>
      </c>
      <c r="L16" s="33" t="e">
        <f t="shared" si="7"/>
        <v>#DIV/0!</v>
      </c>
      <c r="M16" s="33" t="e">
        <f t="shared" si="7"/>
        <v>#DIV/0!</v>
      </c>
      <c r="N16" s="33" t="e">
        <f t="shared" si="7"/>
        <v>#DIV/0!</v>
      </c>
      <c r="O16" s="33" t="e">
        <f t="shared" si="7"/>
        <v>#DIV/0!</v>
      </c>
      <c r="P16" s="19" t="e">
        <f t="shared" si="7"/>
        <v>#DIV/0!</v>
      </c>
      <c r="Q16" s="37"/>
    </row>
    <row r="17" spans="1:17" ht="22.15" customHeight="1">
      <c r="A17" s="14" t="s">
        <v>38</v>
      </c>
      <c r="B17" s="12">
        <f t="shared" ref="B17:H17" si="8">K$8-K$9</f>
        <v>0</v>
      </c>
      <c r="C17" s="19">
        <f t="shared" si="8"/>
        <v>0</v>
      </c>
      <c r="D17" s="19">
        <f t="shared" si="8"/>
        <v>0</v>
      </c>
      <c r="E17" s="19">
        <f t="shared" si="8"/>
        <v>0</v>
      </c>
      <c r="F17" s="19">
        <f t="shared" si="8"/>
        <v>0</v>
      </c>
      <c r="G17" s="19">
        <f t="shared" si="8"/>
        <v>0</v>
      </c>
      <c r="H17" s="29">
        <f t="shared" si="8"/>
        <v>0</v>
      </c>
    </row>
    <row r="18" spans="1:17" ht="22.15" customHeight="1">
      <c r="A18" s="14" t="s">
        <v>39</v>
      </c>
      <c r="B18" s="12" t="e">
        <f t="shared" ref="B18:H18" si="9">B$17/$B$3</f>
        <v>#DIV/0!</v>
      </c>
      <c r="C18" s="19" t="e">
        <f t="shared" si="9"/>
        <v>#DIV/0!</v>
      </c>
      <c r="D18" s="19" t="e">
        <f t="shared" si="9"/>
        <v>#DIV/0!</v>
      </c>
      <c r="E18" s="19" t="e">
        <f t="shared" si="9"/>
        <v>#DIV/0!</v>
      </c>
      <c r="F18" s="19" t="e">
        <f t="shared" si="9"/>
        <v>#DIV/0!</v>
      </c>
      <c r="G18" s="19" t="e">
        <f t="shared" si="9"/>
        <v>#DIV/0!</v>
      </c>
      <c r="H18" s="29" t="e">
        <f t="shared" si="9"/>
        <v>#DIV/0!</v>
      </c>
    </row>
    <row r="19" spans="1:17" ht="22.15" customHeight="1">
      <c r="A19" s="14" t="s">
        <v>40</v>
      </c>
      <c r="B19" s="12">
        <f t="shared" ref="B19:H19" si="10">B$15+B$12+B$14</f>
        <v>0</v>
      </c>
      <c r="C19" s="19">
        <f t="shared" si="10"/>
        <v>0</v>
      </c>
      <c r="D19" s="19">
        <f t="shared" si="10"/>
        <v>0</v>
      </c>
      <c r="E19" s="19">
        <f t="shared" si="10"/>
        <v>0</v>
      </c>
      <c r="F19" s="19">
        <f t="shared" si="10"/>
        <v>0</v>
      </c>
      <c r="G19" s="19">
        <f t="shared" si="10"/>
        <v>0</v>
      </c>
      <c r="H19" s="29">
        <f t="shared" si="10"/>
        <v>0</v>
      </c>
    </row>
    <row r="20" spans="1:17" ht="22.15" customHeight="1">
      <c r="A20" s="14" t="s">
        <v>41</v>
      </c>
      <c r="B20" s="12">
        <f t="shared" ref="B20:H20" si="11">$B$19+K$7</f>
        <v>0</v>
      </c>
      <c r="C20" s="19">
        <f t="shared" si="11"/>
        <v>0</v>
      </c>
      <c r="D20" s="19">
        <f t="shared" si="11"/>
        <v>0</v>
      </c>
      <c r="E20" s="19">
        <f t="shared" si="11"/>
        <v>0</v>
      </c>
      <c r="F20" s="19">
        <f t="shared" si="11"/>
        <v>0</v>
      </c>
      <c r="G20" s="19">
        <f t="shared" si="11"/>
        <v>0</v>
      </c>
      <c r="H20" s="29">
        <f t="shared" si="11"/>
        <v>0</v>
      </c>
    </row>
    <row r="21" spans="1:17" ht="30.6" customHeight="1" thickBot="1"/>
    <row r="22" spans="1:17" ht="19.149999999999999" customHeight="1" thickBot="1">
      <c r="A22" s="1" t="s">
        <v>42</v>
      </c>
      <c r="B22" s="2" t="s">
        <v>18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4" t="s">
        <v>7</v>
      </c>
      <c r="J22" s="38" t="s">
        <v>43</v>
      </c>
      <c r="K22" s="39" t="s">
        <v>18</v>
      </c>
      <c r="L22" s="40" t="s">
        <v>2</v>
      </c>
      <c r="M22" s="40" t="s">
        <v>3</v>
      </c>
      <c r="N22" s="40" t="s">
        <v>4</v>
      </c>
      <c r="O22" s="40" t="s">
        <v>5</v>
      </c>
      <c r="P22" s="40" t="s">
        <v>6</v>
      </c>
      <c r="Q22" s="41" t="s">
        <v>7</v>
      </c>
    </row>
    <row r="23" spans="1:17" ht="21.6" customHeight="1">
      <c r="A23" s="42" t="s">
        <v>44</v>
      </c>
      <c r="B23" s="8"/>
      <c r="C23" s="9"/>
      <c r="D23" s="9"/>
      <c r="E23" s="9"/>
      <c r="F23" s="9"/>
      <c r="G23" s="9"/>
      <c r="H23" s="20"/>
      <c r="J23" s="43" t="s">
        <v>45</v>
      </c>
      <c r="K23" s="44"/>
      <c r="L23" s="44"/>
      <c r="M23" s="44"/>
      <c r="N23" s="44"/>
      <c r="O23" s="44"/>
      <c r="P23" s="44"/>
      <c r="Q23" s="44"/>
    </row>
    <row r="24" spans="1:17" ht="19.149999999999999" customHeight="1">
      <c r="A24" s="24" t="s">
        <v>46</v>
      </c>
      <c r="B24" s="15"/>
      <c r="C24" s="25"/>
      <c r="D24" s="25"/>
      <c r="E24" s="25"/>
      <c r="F24" s="25"/>
      <c r="G24" s="25"/>
      <c r="H24" s="26"/>
      <c r="J24" s="45" t="s">
        <v>47</v>
      </c>
      <c r="K24" s="46" t="e">
        <f t="shared" ref="K24:Q24" si="12">B$9/B$7</f>
        <v>#DIV/0!</v>
      </c>
      <c r="L24" s="46" t="e">
        <f t="shared" si="12"/>
        <v>#DIV/0!</v>
      </c>
      <c r="M24" s="46" t="e">
        <f t="shared" si="12"/>
        <v>#DIV/0!</v>
      </c>
      <c r="N24" s="46" t="e">
        <f t="shared" si="12"/>
        <v>#DIV/0!</v>
      </c>
      <c r="O24" s="46" t="e">
        <f t="shared" si="12"/>
        <v>#DIV/0!</v>
      </c>
      <c r="P24" s="46" t="e">
        <f t="shared" si="12"/>
        <v>#DIV/0!</v>
      </c>
      <c r="Q24" s="46" t="e">
        <f t="shared" si="12"/>
        <v>#DIV/0!</v>
      </c>
    </row>
    <row r="25" spans="1:17" ht="19.149999999999999" customHeight="1">
      <c r="A25" s="24" t="s">
        <v>48</v>
      </c>
      <c r="B25" s="12">
        <f t="shared" ref="B25:H25" si="13">B$26-B$24</f>
        <v>0</v>
      </c>
      <c r="C25" s="12">
        <f t="shared" si="13"/>
        <v>0</v>
      </c>
      <c r="D25" s="12">
        <f t="shared" si="13"/>
        <v>0</v>
      </c>
      <c r="E25" s="12">
        <f t="shared" si="13"/>
        <v>0</v>
      </c>
      <c r="F25" s="12">
        <f t="shared" si="13"/>
        <v>0</v>
      </c>
      <c r="G25" s="12">
        <f t="shared" si="13"/>
        <v>0</v>
      </c>
      <c r="H25" s="12">
        <f t="shared" si="13"/>
        <v>0</v>
      </c>
      <c r="J25" s="45" t="s">
        <v>49</v>
      </c>
      <c r="K25" s="46" t="e">
        <f t="shared" ref="K25:Q25" si="14">B$11/B$7</f>
        <v>#DIV/0!</v>
      </c>
      <c r="L25" s="46" t="e">
        <f t="shared" si="14"/>
        <v>#DIV/0!</v>
      </c>
      <c r="M25" s="46" t="e">
        <f t="shared" si="14"/>
        <v>#DIV/0!</v>
      </c>
      <c r="N25" s="46" t="e">
        <f t="shared" si="14"/>
        <v>#DIV/0!</v>
      </c>
      <c r="O25" s="46" t="e">
        <f t="shared" si="14"/>
        <v>#DIV/0!</v>
      </c>
      <c r="P25" s="46" t="e">
        <f t="shared" si="14"/>
        <v>#DIV/0!</v>
      </c>
      <c r="Q25" s="46" t="e">
        <f t="shared" si="14"/>
        <v>#DIV/0!</v>
      </c>
    </row>
    <row r="26" spans="1:17" ht="19.149999999999999" customHeight="1">
      <c r="A26" s="14" t="s">
        <v>50</v>
      </c>
      <c r="B26" s="15"/>
      <c r="C26" s="15"/>
      <c r="D26" s="15"/>
      <c r="E26" s="15"/>
      <c r="F26" s="15"/>
      <c r="G26" s="15"/>
      <c r="H26" s="15"/>
      <c r="J26" s="45" t="s">
        <v>51</v>
      </c>
      <c r="K26" s="46" t="e">
        <f t="shared" ref="K26:Q26" si="15">B$15/B$7</f>
        <v>#DIV/0!</v>
      </c>
      <c r="L26" s="46" t="e">
        <f t="shared" si="15"/>
        <v>#DIV/0!</v>
      </c>
      <c r="M26" s="46" t="e">
        <f t="shared" si="15"/>
        <v>#DIV/0!</v>
      </c>
      <c r="N26" s="46" t="e">
        <f t="shared" si="15"/>
        <v>#DIV/0!</v>
      </c>
      <c r="O26" s="46" t="e">
        <f t="shared" si="15"/>
        <v>#DIV/0!</v>
      </c>
      <c r="P26" s="46" t="e">
        <f t="shared" si="15"/>
        <v>#DIV/0!</v>
      </c>
      <c r="Q26" s="46" t="e">
        <f t="shared" si="15"/>
        <v>#DIV/0!</v>
      </c>
    </row>
    <row r="27" spans="1:17" ht="19.149999999999999" customHeight="1">
      <c r="A27" s="24" t="s">
        <v>52</v>
      </c>
      <c r="B27" s="15"/>
      <c r="C27" s="25"/>
      <c r="D27" s="25"/>
      <c r="E27" s="25"/>
      <c r="F27" s="25"/>
      <c r="G27" s="25"/>
      <c r="H27" s="26"/>
      <c r="J27" s="45" t="s">
        <v>53</v>
      </c>
      <c r="K27" s="46" t="e">
        <f t="shared" ref="K27:Q27" si="16">B$20/B$7</f>
        <v>#DIV/0!</v>
      </c>
      <c r="L27" s="46" t="e">
        <f t="shared" si="16"/>
        <v>#DIV/0!</v>
      </c>
      <c r="M27" s="46" t="e">
        <f t="shared" si="16"/>
        <v>#DIV/0!</v>
      </c>
      <c r="N27" s="46" t="e">
        <f t="shared" si="16"/>
        <v>#DIV/0!</v>
      </c>
      <c r="O27" s="46" t="e">
        <f t="shared" si="16"/>
        <v>#DIV/0!</v>
      </c>
      <c r="P27" s="46" t="e">
        <f t="shared" si="16"/>
        <v>#DIV/0!</v>
      </c>
      <c r="Q27" s="46" t="e">
        <f t="shared" si="16"/>
        <v>#DIV/0!</v>
      </c>
    </row>
    <row r="28" spans="1:17" ht="19.149999999999999" customHeight="1">
      <c r="A28" s="24" t="s">
        <v>54</v>
      </c>
      <c r="B28" s="12">
        <f t="shared" ref="B28:H28" si="17">B$29-B$27</f>
        <v>0</v>
      </c>
      <c r="C28" s="12">
        <f t="shared" si="17"/>
        <v>0</v>
      </c>
      <c r="D28" s="12">
        <f t="shared" si="17"/>
        <v>0</v>
      </c>
      <c r="E28" s="12">
        <f t="shared" si="17"/>
        <v>0</v>
      </c>
      <c r="F28" s="12">
        <f t="shared" si="17"/>
        <v>0</v>
      </c>
      <c r="G28" s="12">
        <f t="shared" si="17"/>
        <v>0</v>
      </c>
      <c r="H28" s="12">
        <f t="shared" si="17"/>
        <v>0</v>
      </c>
      <c r="J28" s="45" t="s">
        <v>55</v>
      </c>
      <c r="K28" s="46" t="e">
        <f t="shared" ref="K28:Q28" si="18">B$19/B$7</f>
        <v>#DIV/0!</v>
      </c>
      <c r="L28" s="46" t="e">
        <f t="shared" si="18"/>
        <v>#DIV/0!</v>
      </c>
      <c r="M28" s="46" t="e">
        <f t="shared" si="18"/>
        <v>#DIV/0!</v>
      </c>
      <c r="N28" s="46" t="e">
        <f t="shared" si="18"/>
        <v>#DIV/0!</v>
      </c>
      <c r="O28" s="46" t="e">
        <f t="shared" si="18"/>
        <v>#DIV/0!</v>
      </c>
      <c r="P28" s="46" t="e">
        <f t="shared" si="18"/>
        <v>#DIV/0!</v>
      </c>
      <c r="Q28" s="46" t="e">
        <f t="shared" si="18"/>
        <v>#DIV/0!</v>
      </c>
    </row>
    <row r="29" spans="1:17" ht="19.149999999999999" customHeight="1">
      <c r="A29" s="14" t="s">
        <v>56</v>
      </c>
      <c r="B29" s="15"/>
      <c r="C29" s="15"/>
      <c r="D29" s="15"/>
      <c r="E29" s="15"/>
      <c r="F29" s="15"/>
      <c r="G29" s="15"/>
      <c r="H29" s="15"/>
      <c r="J29" s="45" t="s">
        <v>57</v>
      </c>
      <c r="K29" s="46" t="e">
        <f t="shared" ref="K29:Q29" si="19">B$17/B$7</f>
        <v>#DIV/0!</v>
      </c>
      <c r="L29" s="46" t="e">
        <f t="shared" si="19"/>
        <v>#DIV/0!</v>
      </c>
      <c r="M29" s="46" t="e">
        <f t="shared" si="19"/>
        <v>#DIV/0!</v>
      </c>
      <c r="N29" s="46" t="e">
        <f t="shared" si="19"/>
        <v>#DIV/0!</v>
      </c>
      <c r="O29" s="46" t="e">
        <f t="shared" si="19"/>
        <v>#DIV/0!</v>
      </c>
      <c r="P29" s="46" t="e">
        <f t="shared" si="19"/>
        <v>#DIV/0!</v>
      </c>
      <c r="Q29" s="46" t="e">
        <f t="shared" si="19"/>
        <v>#DIV/0!</v>
      </c>
    </row>
    <row r="30" spans="1:17" ht="19.149999999999999" customHeight="1">
      <c r="A30" s="14" t="s">
        <v>58</v>
      </c>
      <c r="B30" s="12">
        <f t="shared" ref="B30:H30" si="20">B$26-B$29</f>
        <v>0</v>
      </c>
      <c r="C30" s="19">
        <f t="shared" si="20"/>
        <v>0</v>
      </c>
      <c r="D30" s="19">
        <f t="shared" si="20"/>
        <v>0</v>
      </c>
      <c r="E30" s="19">
        <f t="shared" si="20"/>
        <v>0</v>
      </c>
      <c r="F30" s="19">
        <f t="shared" si="20"/>
        <v>0</v>
      </c>
      <c r="G30" s="19">
        <f t="shared" si="20"/>
        <v>0</v>
      </c>
      <c r="H30" s="29">
        <f t="shared" si="20"/>
        <v>0</v>
      </c>
      <c r="J30" s="45" t="s">
        <v>59</v>
      </c>
      <c r="K30" s="46" t="e">
        <f t="shared" ref="K30:Q30" si="21">B$14/B$13</f>
        <v>#DIV/0!</v>
      </c>
      <c r="L30" s="46" t="e">
        <f t="shared" si="21"/>
        <v>#DIV/0!</v>
      </c>
      <c r="M30" s="46" t="e">
        <f t="shared" si="21"/>
        <v>#DIV/0!</v>
      </c>
      <c r="N30" s="46" t="e">
        <f t="shared" si="21"/>
        <v>#DIV/0!</v>
      </c>
      <c r="O30" s="46" t="e">
        <f t="shared" si="21"/>
        <v>#DIV/0!</v>
      </c>
      <c r="P30" s="46" t="e">
        <f t="shared" si="21"/>
        <v>#DIV/0!</v>
      </c>
      <c r="Q30" s="46" t="e">
        <f t="shared" si="21"/>
        <v>#DIV/0!</v>
      </c>
    </row>
    <row r="31" spans="1:17" ht="18.600000000000001" customHeight="1">
      <c r="A31" s="14" t="s">
        <v>60</v>
      </c>
      <c r="B31" s="15"/>
      <c r="C31" s="25"/>
      <c r="D31" s="25"/>
      <c r="E31" s="25"/>
      <c r="F31" s="25"/>
      <c r="G31" s="25"/>
      <c r="H31" s="26"/>
      <c r="J31" s="43" t="s">
        <v>61</v>
      </c>
      <c r="K31" s="44"/>
      <c r="L31" s="44"/>
      <c r="M31" s="44"/>
      <c r="N31" s="44"/>
      <c r="O31" s="44"/>
      <c r="P31" s="44"/>
      <c r="Q31" s="44"/>
    </row>
    <row r="32" spans="1:17" ht="19.149999999999999" customHeight="1">
      <c r="A32" s="14" t="s">
        <v>62</v>
      </c>
      <c r="B32" s="12">
        <f t="shared" ref="B32:H32" si="22">B$23-B$31</f>
        <v>0</v>
      </c>
      <c r="C32" s="19">
        <f t="shared" si="22"/>
        <v>0</v>
      </c>
      <c r="D32" s="19">
        <f t="shared" si="22"/>
        <v>0</v>
      </c>
      <c r="E32" s="19">
        <f t="shared" si="22"/>
        <v>0</v>
      </c>
      <c r="F32" s="19">
        <f t="shared" si="22"/>
        <v>0</v>
      </c>
      <c r="G32" s="19">
        <f t="shared" si="22"/>
        <v>0</v>
      </c>
      <c r="H32" s="29">
        <f t="shared" si="22"/>
        <v>0</v>
      </c>
      <c r="J32" s="45" t="s">
        <v>63</v>
      </c>
      <c r="K32" s="46" t="e">
        <f t="shared" ref="K32:Q32" si="23">(B$15+K$7)/B$29</f>
        <v>#DIV/0!</v>
      </c>
      <c r="L32" s="46" t="e">
        <f t="shared" si="23"/>
        <v>#DIV/0!</v>
      </c>
      <c r="M32" s="46" t="e">
        <f t="shared" si="23"/>
        <v>#DIV/0!</v>
      </c>
      <c r="N32" s="46" t="e">
        <f t="shared" si="23"/>
        <v>#DIV/0!</v>
      </c>
      <c r="O32" s="46" t="e">
        <f t="shared" si="23"/>
        <v>#DIV/0!</v>
      </c>
      <c r="P32" s="46" t="e">
        <f t="shared" si="23"/>
        <v>#DIV/0!</v>
      </c>
      <c r="Q32" s="46" t="e">
        <f t="shared" si="23"/>
        <v>#DIV/0!</v>
      </c>
    </row>
    <row r="33" spans="1:25" ht="19.149999999999999" customHeight="1">
      <c r="A33" s="14" t="s">
        <v>64</v>
      </c>
      <c r="B33" s="12">
        <f t="shared" ref="B33:H33" si="24">B$24-B$27</f>
        <v>0</v>
      </c>
      <c r="C33" s="19">
        <f t="shared" si="24"/>
        <v>0</v>
      </c>
      <c r="D33" s="19">
        <f t="shared" si="24"/>
        <v>0</v>
      </c>
      <c r="E33" s="19">
        <f t="shared" si="24"/>
        <v>0</v>
      </c>
      <c r="F33" s="19">
        <f t="shared" si="24"/>
        <v>0</v>
      </c>
      <c r="G33" s="19">
        <f t="shared" si="24"/>
        <v>0</v>
      </c>
      <c r="H33" s="29">
        <f t="shared" si="24"/>
        <v>0</v>
      </c>
      <c r="J33" s="45" t="s">
        <v>65</v>
      </c>
      <c r="K33" s="47" t="e">
        <f t="shared" ref="K33:Q33" si="25">B$24/B$27</f>
        <v>#DIV/0!</v>
      </c>
      <c r="L33" s="47" t="e">
        <f t="shared" si="25"/>
        <v>#DIV/0!</v>
      </c>
      <c r="M33" s="47" t="e">
        <f t="shared" si="25"/>
        <v>#DIV/0!</v>
      </c>
      <c r="N33" s="47" t="e">
        <f t="shared" si="25"/>
        <v>#DIV/0!</v>
      </c>
      <c r="O33" s="47" t="e">
        <f t="shared" si="25"/>
        <v>#DIV/0!</v>
      </c>
      <c r="P33" s="47" t="e">
        <f t="shared" si="25"/>
        <v>#DIV/0!</v>
      </c>
      <c r="Q33" s="47" t="e">
        <f t="shared" si="25"/>
        <v>#DIV/0!</v>
      </c>
    </row>
    <row r="34" spans="1:25" ht="19.149999999999999" customHeight="1" thickBot="1">
      <c r="A34" s="30" t="s">
        <v>66</v>
      </c>
      <c r="B34" s="48"/>
      <c r="C34" s="49"/>
      <c r="D34" s="49"/>
      <c r="E34" s="49"/>
      <c r="F34" s="49"/>
      <c r="G34" s="49"/>
      <c r="H34" s="50"/>
      <c r="J34" s="45" t="s">
        <v>67</v>
      </c>
      <c r="K34" s="51" t="e">
        <f t="shared" ref="K34:Q34" si="26">B$31/B$30</f>
        <v>#DIV/0!</v>
      </c>
      <c r="L34" s="51" t="e">
        <f t="shared" si="26"/>
        <v>#DIV/0!</v>
      </c>
      <c r="M34" s="51" t="e">
        <f t="shared" si="26"/>
        <v>#DIV/0!</v>
      </c>
      <c r="N34" s="51" t="e">
        <f t="shared" si="26"/>
        <v>#DIV/0!</v>
      </c>
      <c r="O34" s="51" t="e">
        <f t="shared" si="26"/>
        <v>#DIV/0!</v>
      </c>
      <c r="P34" s="51" t="e">
        <f t="shared" si="26"/>
        <v>#DIV/0!</v>
      </c>
      <c r="Q34" s="51" t="e">
        <f t="shared" si="26"/>
        <v>#DIV/0!</v>
      </c>
      <c r="R34" s="52" t="s">
        <v>68</v>
      </c>
      <c r="S34" s="53" t="e">
        <f t="shared" ref="S34:Y34" si="27">B$19*(1-K$30)</f>
        <v>#DIV/0!</v>
      </c>
      <c r="T34" s="53" t="e">
        <f t="shared" si="27"/>
        <v>#DIV/0!</v>
      </c>
      <c r="U34" s="53" t="e">
        <f t="shared" si="27"/>
        <v>#DIV/0!</v>
      </c>
      <c r="V34" s="53" t="e">
        <f t="shared" si="27"/>
        <v>#DIV/0!</v>
      </c>
      <c r="W34" s="53" t="e">
        <f t="shared" si="27"/>
        <v>#DIV/0!</v>
      </c>
      <c r="X34" s="53" t="e">
        <f t="shared" si="27"/>
        <v>#DIV/0!</v>
      </c>
      <c r="Y34" s="53" t="e">
        <f t="shared" si="27"/>
        <v>#DIV/0!</v>
      </c>
    </row>
    <row r="35" spans="1:25" ht="27" customHeight="1" thickBot="1">
      <c r="J35" s="45" t="s">
        <v>69</v>
      </c>
      <c r="K35" s="51" t="e">
        <f t="shared" ref="K35:Q35" si="28">B$31/B$20</f>
        <v>#DIV/0!</v>
      </c>
      <c r="L35" s="51" t="e">
        <f t="shared" si="28"/>
        <v>#DIV/0!</v>
      </c>
      <c r="M35" s="51" t="e">
        <f t="shared" si="28"/>
        <v>#DIV/0!</v>
      </c>
      <c r="N35" s="51" t="e">
        <f t="shared" si="28"/>
        <v>#DIV/0!</v>
      </c>
      <c r="O35" s="51" t="e">
        <f t="shared" si="28"/>
        <v>#DIV/0!</v>
      </c>
      <c r="P35" s="51" t="e">
        <f t="shared" si="28"/>
        <v>#DIV/0!</v>
      </c>
      <c r="Q35" s="51" t="e">
        <f t="shared" si="28"/>
        <v>#DIV/0!</v>
      </c>
      <c r="R35" s="54" t="s">
        <v>70</v>
      </c>
      <c r="S35" s="53">
        <f t="shared" ref="S35:Y35" si="29">B$31+B$30-(B$23-0.15*B$23)</f>
        <v>0</v>
      </c>
      <c r="T35" s="53">
        <f t="shared" si="29"/>
        <v>0</v>
      </c>
      <c r="U35" s="53">
        <f t="shared" si="29"/>
        <v>0</v>
      </c>
      <c r="V35" s="53">
        <f t="shared" si="29"/>
        <v>0</v>
      </c>
      <c r="W35" s="53">
        <f t="shared" si="29"/>
        <v>0</v>
      </c>
      <c r="X35" s="53">
        <f t="shared" si="29"/>
        <v>0</v>
      </c>
      <c r="Y35" s="53">
        <f t="shared" si="29"/>
        <v>0</v>
      </c>
    </row>
    <row r="36" spans="1:25" ht="19.149999999999999" customHeight="1">
      <c r="A36" s="63" t="s">
        <v>71</v>
      </c>
      <c r="B36" s="64"/>
      <c r="J36" s="45" t="s">
        <v>72</v>
      </c>
      <c r="K36" s="51" t="e">
        <f t="shared" ref="K36:Q36" si="30">B$32/B$30</f>
        <v>#DIV/0!</v>
      </c>
      <c r="L36" s="51" t="e">
        <f t="shared" si="30"/>
        <v>#DIV/0!</v>
      </c>
      <c r="M36" s="51" t="e">
        <f t="shared" si="30"/>
        <v>#DIV/0!</v>
      </c>
      <c r="N36" s="51" t="e">
        <f t="shared" si="30"/>
        <v>#DIV/0!</v>
      </c>
      <c r="O36" s="51" t="e">
        <f t="shared" si="30"/>
        <v>#DIV/0!</v>
      </c>
      <c r="P36" s="51" t="e">
        <f t="shared" si="30"/>
        <v>#DIV/0!</v>
      </c>
      <c r="Q36" s="51" t="e">
        <f t="shared" si="30"/>
        <v>#DIV/0!</v>
      </c>
    </row>
    <row r="37" spans="1:25" ht="19.149999999999999" customHeight="1">
      <c r="A37" s="65" t="s">
        <v>73</v>
      </c>
      <c r="B37" s="66"/>
      <c r="J37" s="45" t="s">
        <v>74</v>
      </c>
      <c r="K37" s="46" t="e">
        <f t="shared" ref="K37:Q37" si="31">B$30/B$26</f>
        <v>#DIV/0!</v>
      </c>
      <c r="L37" s="46" t="e">
        <f t="shared" si="31"/>
        <v>#DIV/0!</v>
      </c>
      <c r="M37" s="46" t="e">
        <f t="shared" si="31"/>
        <v>#DIV/0!</v>
      </c>
      <c r="N37" s="46" t="e">
        <f t="shared" si="31"/>
        <v>#DIV/0!</v>
      </c>
      <c r="O37" s="46" t="e">
        <f t="shared" si="31"/>
        <v>#DIV/0!</v>
      </c>
      <c r="P37" s="46" t="e">
        <f t="shared" si="31"/>
        <v>#DIV/0!</v>
      </c>
      <c r="Q37" s="46" t="e">
        <f t="shared" si="31"/>
        <v>#DIV/0!</v>
      </c>
    </row>
    <row r="38" spans="1:25" ht="19.149999999999999" customHeight="1">
      <c r="A38" s="65" t="s">
        <v>75</v>
      </c>
      <c r="B38" s="66"/>
      <c r="J38" s="45" t="s">
        <v>76</v>
      </c>
      <c r="K38" s="51" t="e">
        <f t="shared" ref="K38:Q38" si="32">B$19/B$12</f>
        <v>#DIV/0!</v>
      </c>
      <c r="L38" s="51" t="e">
        <f t="shared" si="32"/>
        <v>#DIV/0!</v>
      </c>
      <c r="M38" s="51" t="e">
        <f t="shared" si="32"/>
        <v>#DIV/0!</v>
      </c>
      <c r="N38" s="51" t="e">
        <f t="shared" si="32"/>
        <v>#DIV/0!</v>
      </c>
      <c r="O38" s="51" t="e">
        <f t="shared" si="32"/>
        <v>#DIV/0!</v>
      </c>
      <c r="P38" s="51" t="e">
        <f t="shared" si="32"/>
        <v>#DIV/0!</v>
      </c>
      <c r="Q38" s="51" t="e">
        <f t="shared" si="32"/>
        <v>#DIV/0!</v>
      </c>
    </row>
    <row r="39" spans="1:25" ht="19.149999999999999" customHeight="1">
      <c r="A39" s="65" t="s">
        <v>77</v>
      </c>
      <c r="B39" s="66"/>
      <c r="J39" s="43" t="s">
        <v>78</v>
      </c>
      <c r="K39" s="44"/>
      <c r="L39" s="44"/>
      <c r="M39" s="44"/>
      <c r="N39" s="44"/>
      <c r="O39" s="44"/>
      <c r="P39" s="44"/>
      <c r="Q39" s="44"/>
    </row>
    <row r="40" spans="1:25" ht="19.149999999999999" customHeight="1">
      <c r="A40" s="65" t="s">
        <v>79</v>
      </c>
      <c r="B40" s="66"/>
      <c r="J40" s="45" t="s">
        <v>80</v>
      </c>
      <c r="K40" s="46" t="e">
        <f t="shared" ref="K40:Q40" si="33">B$15/B$30</f>
        <v>#DIV/0!</v>
      </c>
      <c r="L40" s="46" t="e">
        <f t="shared" si="33"/>
        <v>#DIV/0!</v>
      </c>
      <c r="M40" s="46" t="e">
        <f t="shared" si="33"/>
        <v>#DIV/0!</v>
      </c>
      <c r="N40" s="46" t="e">
        <f t="shared" si="33"/>
        <v>#DIV/0!</v>
      </c>
      <c r="O40" s="46" t="e">
        <f t="shared" si="33"/>
        <v>#DIV/0!</v>
      </c>
      <c r="P40" s="46" t="e">
        <f t="shared" si="33"/>
        <v>#DIV/0!</v>
      </c>
      <c r="Q40" s="46" t="e">
        <f t="shared" si="33"/>
        <v>#DIV/0!</v>
      </c>
    </row>
    <row r="41" spans="1:25" ht="19.149999999999999" customHeight="1" thickBot="1">
      <c r="A41" s="67" t="s">
        <v>81</v>
      </c>
      <c r="B41" s="68"/>
      <c r="J41" s="45" t="s">
        <v>82</v>
      </c>
      <c r="K41" s="46" t="e">
        <f t="shared" ref="K41:Q41" si="34">B$15/B$26</f>
        <v>#DIV/0!</v>
      </c>
      <c r="L41" s="46" t="e">
        <f t="shared" si="34"/>
        <v>#DIV/0!</v>
      </c>
      <c r="M41" s="46" t="e">
        <f t="shared" si="34"/>
        <v>#DIV/0!</v>
      </c>
      <c r="N41" s="46" t="e">
        <f t="shared" si="34"/>
        <v>#DIV/0!</v>
      </c>
      <c r="O41" s="46" t="e">
        <f t="shared" si="34"/>
        <v>#DIV/0!</v>
      </c>
      <c r="P41" s="46" t="e">
        <f t="shared" si="34"/>
        <v>#DIV/0!</v>
      </c>
      <c r="Q41" s="46" t="e">
        <f t="shared" si="34"/>
        <v>#DIV/0!</v>
      </c>
    </row>
    <row r="42" spans="1:25" ht="19.149999999999999" customHeight="1">
      <c r="J42" s="45" t="s">
        <v>83</v>
      </c>
      <c r="K42" s="46" t="e">
        <f t="shared" ref="K42:Q42" si="35">S$34/S$35</f>
        <v>#DIV/0!</v>
      </c>
      <c r="L42" s="46" t="e">
        <f t="shared" si="35"/>
        <v>#DIV/0!</v>
      </c>
      <c r="M42" s="46" t="e">
        <f t="shared" si="35"/>
        <v>#DIV/0!</v>
      </c>
      <c r="N42" s="46" t="e">
        <f t="shared" si="35"/>
        <v>#DIV/0!</v>
      </c>
      <c r="O42" s="46" t="e">
        <f t="shared" si="35"/>
        <v>#DIV/0!</v>
      </c>
      <c r="P42" s="46" t="e">
        <f t="shared" si="35"/>
        <v>#DIV/0!</v>
      </c>
      <c r="Q42" s="46" t="e">
        <f t="shared" si="35"/>
        <v>#DIV/0!</v>
      </c>
    </row>
    <row r="43" spans="1:25" ht="19.149999999999999" customHeight="1">
      <c r="J43" s="55" t="s">
        <v>84</v>
      </c>
      <c r="K43" s="56" t="e">
        <f t="shared" ref="K43:Q43" si="36">B$11/B$26</f>
        <v>#DIV/0!</v>
      </c>
      <c r="L43" s="56" t="e">
        <f t="shared" si="36"/>
        <v>#DIV/0!</v>
      </c>
      <c r="M43" s="56" t="e">
        <f t="shared" si="36"/>
        <v>#DIV/0!</v>
      </c>
      <c r="N43" s="56" t="e">
        <f t="shared" si="36"/>
        <v>#DIV/0!</v>
      </c>
      <c r="O43" s="56" t="e">
        <f t="shared" si="36"/>
        <v>#DIV/0!</v>
      </c>
      <c r="P43" s="56" t="e">
        <f t="shared" si="36"/>
        <v>#DIV/0!</v>
      </c>
      <c r="Q43" s="56" t="e">
        <f t="shared" si="36"/>
        <v>#DIV/0!</v>
      </c>
    </row>
    <row r="44" spans="1:25" ht="31.15">
      <c r="J44" s="55" t="s">
        <v>85</v>
      </c>
      <c r="K44" s="56" t="e">
        <f t="shared" ref="K44:Q44" si="37">B$19*(0.7)/S$35</f>
        <v>#DIV/0!</v>
      </c>
      <c r="L44" s="56" t="e">
        <f t="shared" si="37"/>
        <v>#DIV/0!</v>
      </c>
      <c r="M44" s="56" t="e">
        <f t="shared" si="37"/>
        <v>#DIV/0!</v>
      </c>
      <c r="N44" s="56" t="e">
        <f t="shared" si="37"/>
        <v>#DIV/0!</v>
      </c>
      <c r="O44" s="56" t="e">
        <f t="shared" si="37"/>
        <v>#DIV/0!</v>
      </c>
      <c r="P44" s="56" t="e">
        <f t="shared" si="37"/>
        <v>#DIV/0!</v>
      </c>
      <c r="Q44" s="56" t="e">
        <f t="shared" si="37"/>
        <v>#DIV/0!</v>
      </c>
    </row>
    <row r="45" spans="1:25" ht="19.149999999999999" customHeight="1">
      <c r="J45" s="43" t="s">
        <v>86</v>
      </c>
      <c r="K45" s="44"/>
      <c r="L45" s="44"/>
      <c r="M45" s="44"/>
      <c r="N45" s="44"/>
      <c r="O45" s="44"/>
      <c r="P45" s="44"/>
      <c r="Q45" s="44"/>
    </row>
    <row r="46" spans="1:25" ht="19.149999999999999" customHeight="1">
      <c r="J46" s="45" t="s">
        <v>87</v>
      </c>
      <c r="K46" s="51" t="e">
        <f t="shared" ref="K46:Q46" si="38">B$2/$K$3</f>
        <v>#DIV/0!</v>
      </c>
      <c r="L46" s="51" t="e">
        <f t="shared" si="38"/>
        <v>#DIV/0!</v>
      </c>
      <c r="M46" s="51" t="e">
        <f t="shared" si="38"/>
        <v>#DIV/0!</v>
      </c>
      <c r="N46" s="51" t="e">
        <f t="shared" si="38"/>
        <v>#DIV/0!</v>
      </c>
      <c r="O46" s="51" t="e">
        <f t="shared" si="38"/>
        <v>#DIV/0!</v>
      </c>
      <c r="P46" s="51" t="e">
        <f t="shared" si="38"/>
        <v>#DIV/0!</v>
      </c>
      <c r="Q46" s="51" t="e">
        <f t="shared" si="38"/>
        <v>#DIV/0!</v>
      </c>
    </row>
    <row r="47" spans="1:25" ht="19.149999999999999" customHeight="1">
      <c r="J47" s="45" t="s">
        <v>88</v>
      </c>
      <c r="K47" s="51" t="e">
        <f t="shared" ref="K47:Q47" si="39">B$2/B$16</f>
        <v>#DIV/0!</v>
      </c>
      <c r="L47" s="51" t="e">
        <f t="shared" si="39"/>
        <v>#DIV/0!</v>
      </c>
      <c r="M47" s="51" t="e">
        <f t="shared" si="39"/>
        <v>#DIV/0!</v>
      </c>
      <c r="N47" s="51" t="e">
        <f t="shared" si="39"/>
        <v>#DIV/0!</v>
      </c>
      <c r="O47" s="51" t="e">
        <f t="shared" si="39"/>
        <v>#DIV/0!</v>
      </c>
      <c r="P47" s="51" t="e">
        <f t="shared" si="39"/>
        <v>#DIV/0!</v>
      </c>
      <c r="Q47" s="51" t="e">
        <f t="shared" si="39"/>
        <v>#DIV/0!</v>
      </c>
    </row>
    <row r="48" spans="1:25" ht="19.149999999999999" customHeight="1">
      <c r="J48" s="45" t="s">
        <v>89</v>
      </c>
      <c r="K48" s="51">
        <f t="shared" ref="K48:Q48" si="40">B$4+B$31-B$23</f>
        <v>0</v>
      </c>
      <c r="L48" s="51">
        <f t="shared" si="40"/>
        <v>0</v>
      </c>
      <c r="M48" s="51">
        <f t="shared" si="40"/>
        <v>0</v>
      </c>
      <c r="N48" s="51">
        <f t="shared" si="40"/>
        <v>0</v>
      </c>
      <c r="O48" s="51">
        <f t="shared" si="40"/>
        <v>0</v>
      </c>
      <c r="P48" s="51">
        <f t="shared" si="40"/>
        <v>0</v>
      </c>
      <c r="Q48" s="51">
        <f t="shared" si="40"/>
        <v>0</v>
      </c>
    </row>
    <row r="49" spans="8:20" ht="19.149999999999999" customHeight="1">
      <c r="J49" s="45" t="s">
        <v>90</v>
      </c>
      <c r="K49" s="51" t="e">
        <f t="shared" ref="K49:Q49" si="41">K$48/B$20</f>
        <v>#DIV/0!</v>
      </c>
      <c r="L49" s="51" t="e">
        <f t="shared" si="41"/>
        <v>#DIV/0!</v>
      </c>
      <c r="M49" s="51" t="e">
        <f t="shared" si="41"/>
        <v>#DIV/0!</v>
      </c>
      <c r="N49" s="51" t="e">
        <f t="shared" si="41"/>
        <v>#DIV/0!</v>
      </c>
      <c r="O49" s="51" t="e">
        <f t="shared" si="41"/>
        <v>#DIV/0!</v>
      </c>
      <c r="P49" s="51" t="e">
        <f t="shared" si="41"/>
        <v>#DIV/0!</v>
      </c>
      <c r="Q49" s="51" t="e">
        <f t="shared" si="41"/>
        <v>#DIV/0!</v>
      </c>
    </row>
    <row r="50" spans="8:20" ht="19.149999999999999" customHeight="1">
      <c r="J50" s="45" t="s">
        <v>91</v>
      </c>
      <c r="K50" s="47" t="e">
        <f>K$47/(($B$15-AVERAGE($C$15:$H$15))/AVERAGE($C$15:$H$15))</f>
        <v>#DIV/0!</v>
      </c>
      <c r="L50" s="57"/>
      <c r="M50" s="57"/>
      <c r="N50" s="57"/>
      <c r="O50" s="57"/>
      <c r="P50" s="57"/>
      <c r="Q50" s="57"/>
    </row>
    <row r="51" spans="8:20" ht="27" customHeight="1">
      <c r="J51" s="43" t="s">
        <v>92</v>
      </c>
      <c r="K51" s="44"/>
      <c r="L51" s="44"/>
      <c r="M51" s="44"/>
      <c r="N51" s="44"/>
      <c r="O51" s="44"/>
      <c r="P51" s="44"/>
      <c r="Q51" s="44"/>
    </row>
    <row r="52" spans="8:20" ht="19.149999999999999" customHeight="1">
      <c r="J52" s="45" t="s">
        <v>93</v>
      </c>
      <c r="K52" s="46" t="e">
        <f t="shared" ref="K52:Q52" si="42">B$17/B$20</f>
        <v>#DIV/0!</v>
      </c>
      <c r="L52" s="46" t="e">
        <f t="shared" si="42"/>
        <v>#DIV/0!</v>
      </c>
      <c r="M52" s="46" t="e">
        <f t="shared" si="42"/>
        <v>#DIV/0!</v>
      </c>
      <c r="N52" s="46" t="e">
        <f t="shared" si="42"/>
        <v>#DIV/0!</v>
      </c>
      <c r="O52" s="46" t="e">
        <f t="shared" si="42"/>
        <v>#DIV/0!</v>
      </c>
      <c r="P52" s="46" t="e">
        <f t="shared" si="42"/>
        <v>#DIV/0!</v>
      </c>
      <c r="Q52" s="46" t="e">
        <f t="shared" si="42"/>
        <v>#DIV/0!</v>
      </c>
    </row>
    <row r="53" spans="8:20" ht="19.149999999999999" customHeight="1">
      <c r="J53" s="45" t="s">
        <v>94</v>
      </c>
      <c r="K53" s="46" t="e">
        <f t="shared" ref="K53:Q53" si="43">K$15/B$15</f>
        <v>#DIV/0!</v>
      </c>
      <c r="L53" s="46" t="e">
        <f t="shared" si="43"/>
        <v>#DIV/0!</v>
      </c>
      <c r="M53" s="46" t="e">
        <f t="shared" si="43"/>
        <v>#DIV/0!</v>
      </c>
      <c r="N53" s="46" t="e">
        <f t="shared" si="43"/>
        <v>#DIV/0!</v>
      </c>
      <c r="O53" s="46" t="e">
        <f t="shared" si="43"/>
        <v>#DIV/0!</v>
      </c>
      <c r="P53" s="46" t="e">
        <f t="shared" si="43"/>
        <v>#DIV/0!</v>
      </c>
      <c r="Q53" s="58" t="e">
        <f t="shared" si="43"/>
        <v>#DIV/0!</v>
      </c>
    </row>
    <row r="54" spans="8:20" ht="19.149999999999999" customHeight="1">
      <c r="J54" s="45" t="s">
        <v>95</v>
      </c>
      <c r="K54" s="46" t="e">
        <f t="shared" ref="K54:Q54" si="44">K$8/B$15</f>
        <v>#DIV/0!</v>
      </c>
      <c r="L54" s="46" t="e">
        <f t="shared" si="44"/>
        <v>#DIV/0!</v>
      </c>
      <c r="M54" s="46" t="e">
        <f t="shared" si="44"/>
        <v>#DIV/0!</v>
      </c>
      <c r="N54" s="46" t="e">
        <f t="shared" si="44"/>
        <v>#DIV/0!</v>
      </c>
      <c r="O54" s="46" t="e">
        <f t="shared" si="44"/>
        <v>#DIV/0!</v>
      </c>
      <c r="P54" s="46" t="e">
        <f t="shared" si="44"/>
        <v>#DIV/0!</v>
      </c>
      <c r="Q54" s="46" t="e">
        <f t="shared" si="44"/>
        <v>#DIV/0!</v>
      </c>
    </row>
    <row r="55" spans="8:20" ht="19.149999999999999" customHeight="1">
      <c r="J55" s="43" t="s">
        <v>96</v>
      </c>
      <c r="K55" s="44"/>
      <c r="L55" s="44"/>
      <c r="M55" s="44"/>
      <c r="N55" s="44"/>
      <c r="O55" s="44"/>
      <c r="P55" s="44"/>
      <c r="Q55" s="44"/>
    </row>
    <row r="56" spans="8:20" ht="19.149999999999999" customHeight="1">
      <c r="J56" s="45" t="s">
        <v>97</v>
      </c>
      <c r="K56" s="46" t="e">
        <f>($C$7/$E$7)^(1/3)-1</f>
        <v>#DIV/0!</v>
      </c>
      <c r="L56" s="57"/>
      <c r="M56" s="57"/>
      <c r="N56" s="57"/>
      <c r="O56" s="57"/>
      <c r="P56" s="57"/>
      <c r="Q56" s="57"/>
    </row>
    <row r="57" spans="8:20" ht="19.149999999999999" customHeight="1">
      <c r="J57" s="45" t="s">
        <v>98</v>
      </c>
      <c r="K57" s="46" t="e">
        <f>($C$7/$G$7)^(1/5)-1</f>
        <v>#DIV/0!</v>
      </c>
      <c r="L57" s="57"/>
      <c r="M57" s="57"/>
      <c r="N57" s="57"/>
      <c r="O57" s="57"/>
      <c r="P57" s="57"/>
      <c r="Q57" s="57"/>
    </row>
    <row r="58" spans="8:20" ht="19.149999999999999" customHeight="1">
      <c r="J58" s="45" t="s">
        <v>99</v>
      </c>
      <c r="K58" s="46" t="e">
        <f>($C$16/$E$16)^(1/3)-1</f>
        <v>#DIV/0!</v>
      </c>
      <c r="L58" s="57"/>
      <c r="M58" s="57"/>
      <c r="N58" s="57"/>
      <c r="O58" s="57"/>
      <c r="P58" s="57"/>
      <c r="Q58" s="57"/>
    </row>
    <row r="59" spans="8:20" ht="19.149999999999999" customHeight="1">
      <c r="J59" s="45" t="s">
        <v>100</v>
      </c>
      <c r="K59" s="46" t="e">
        <f>($C$16/$G$16)^(1/5)-1</f>
        <v>#DIV/0!</v>
      </c>
      <c r="L59" s="57"/>
      <c r="M59" s="57"/>
      <c r="N59" s="57"/>
      <c r="O59" s="57"/>
      <c r="P59" s="57"/>
      <c r="Q59" s="57"/>
      <c r="T59" s="59"/>
    </row>
    <row r="60" spans="8:20" ht="19.149999999999999" customHeight="1">
      <c r="J60" s="45" t="s">
        <v>101</v>
      </c>
      <c r="K60" s="46" t="e">
        <f>($C$20/$E$20)^(1/3)-1</f>
        <v>#DIV/0!</v>
      </c>
      <c r="L60" s="57"/>
      <c r="M60" s="57"/>
      <c r="N60" s="57"/>
      <c r="O60" s="57"/>
      <c r="P60" s="57"/>
      <c r="Q60" s="57"/>
      <c r="T60" s="59"/>
    </row>
    <row r="61" spans="8:20" ht="19.149999999999999" customHeight="1">
      <c r="H61" s="60"/>
      <c r="I61" s="60"/>
      <c r="J61" s="45" t="s">
        <v>102</v>
      </c>
      <c r="K61" s="46" t="e">
        <f>($C$20/$G$20)^(1/5)-1</f>
        <v>#DIV/0!</v>
      </c>
      <c r="L61" s="57"/>
      <c r="M61" s="57"/>
      <c r="N61" s="57"/>
      <c r="O61" s="57"/>
      <c r="P61" s="57"/>
      <c r="Q61" s="57"/>
    </row>
    <row r="62" spans="8:20" ht="19.149999999999999" customHeight="1">
      <c r="H62" s="60"/>
      <c r="I62" s="60"/>
      <c r="J62" s="45" t="s">
        <v>103</v>
      </c>
      <c r="K62" s="46" t="e">
        <f>($C$18/$E$18)^(1/3)-1</f>
        <v>#DIV/0!</v>
      </c>
      <c r="L62" s="57"/>
      <c r="M62" s="57"/>
      <c r="N62" s="57"/>
      <c r="O62" s="57"/>
      <c r="P62" s="57"/>
      <c r="Q62" s="57"/>
    </row>
    <row r="63" spans="8:20" ht="19.149999999999999" customHeight="1">
      <c r="H63" s="60"/>
      <c r="I63" s="60"/>
      <c r="J63" s="45" t="s">
        <v>104</v>
      </c>
      <c r="K63" s="46" t="e">
        <f>($C$18/$G$18)^(1/5)-1</f>
        <v>#DIV/0!</v>
      </c>
      <c r="L63" s="57"/>
      <c r="M63" s="57"/>
      <c r="N63" s="57"/>
      <c r="O63" s="57"/>
      <c r="P63" s="57"/>
      <c r="Q63" s="57"/>
    </row>
    <row r="64" spans="8:20" ht="19.149999999999999" customHeight="1">
      <c r="H64" s="60"/>
      <c r="I64" s="60"/>
      <c r="J64" s="43" t="s">
        <v>105</v>
      </c>
      <c r="K64" s="44"/>
      <c r="L64" s="44"/>
      <c r="M64" s="44"/>
      <c r="N64" s="44"/>
      <c r="O64" s="44"/>
      <c r="P64" s="44"/>
      <c r="Q64" s="44"/>
    </row>
    <row r="65" spans="10:19" ht="32.450000000000003" customHeight="1">
      <c r="J65" s="61" t="s">
        <v>106</v>
      </c>
      <c r="K65" s="62" t="e">
        <f>(($B$2-$S$65)+(SUM($K$13:$P$13)))/$S$65</f>
        <v>#DIV/0!</v>
      </c>
      <c r="L65" s="57"/>
      <c r="M65" s="57"/>
      <c r="N65" s="57"/>
      <c r="O65" s="57"/>
      <c r="P65" s="57"/>
      <c r="Q65" s="57"/>
      <c r="R65" s="59" t="s">
        <v>107</v>
      </c>
      <c r="S65" s="19">
        <f>G2</f>
        <v>0</v>
      </c>
    </row>
    <row r="66" spans="10:19" ht="30.6" customHeight="1">
      <c r="J66" s="61" t="s">
        <v>108</v>
      </c>
      <c r="K66" s="62" t="e">
        <f>(($B$2-$S$66)+(2*SUM($K$13:$P$13)))/$S$66</f>
        <v>#DIV/0!</v>
      </c>
      <c r="L66" s="57"/>
      <c r="M66" s="57"/>
      <c r="N66" s="57"/>
      <c r="O66" s="57"/>
      <c r="P66" s="57"/>
      <c r="Q66" s="57"/>
      <c r="R66" s="59" t="s">
        <v>109</v>
      </c>
      <c r="S66" s="25"/>
    </row>
    <row r="67" spans="10:19" ht="37.9" customHeight="1">
      <c r="J67" s="61" t="s">
        <v>110</v>
      </c>
      <c r="K67" s="62" t="e">
        <f>($K$66-$K$65)^(1/5)-1</f>
        <v>#DIV/0!</v>
      </c>
      <c r="L67" s="57"/>
      <c r="M67" s="57"/>
      <c r="N67" s="57"/>
      <c r="O67" s="57"/>
      <c r="P67" s="57"/>
      <c r="Q67" s="57"/>
    </row>
    <row r="68" spans="10:19" ht="19.149999999999999" customHeight="1">
      <c r="J68" s="43" t="s">
        <v>111</v>
      </c>
      <c r="K68" s="44"/>
      <c r="L68" s="44"/>
      <c r="M68" s="44"/>
      <c r="N68" s="44"/>
      <c r="O68" s="44"/>
      <c r="P68" s="44"/>
      <c r="Q68" s="44"/>
    </row>
    <row r="69" spans="10:19" ht="37.9" customHeight="1">
      <c r="J69" s="61" t="s">
        <v>112</v>
      </c>
      <c r="K69" s="46">
        <f>$P$2+$P$3*($R$2-$P$2)</f>
        <v>2.6370000000000001E-2</v>
      </c>
      <c r="L69" s="57"/>
      <c r="M69" s="57"/>
      <c r="N69" s="57"/>
      <c r="O69" s="57"/>
      <c r="P69" s="57"/>
      <c r="Q69" s="57"/>
    </row>
    <row r="70" spans="10:19" ht="37.9" customHeight="1">
      <c r="J70" s="61" t="s">
        <v>113</v>
      </c>
      <c r="K70" s="46" t="e">
        <f>(($B$3*$B$2)/(($B$3*$B$2)+$B$31)*$K$69)+($B$31/(($B$3*$B$2)+$B$31)*(AVERAGE($B$12:$H$12)/(AVERAGE($B$31:$H$31)))*(1-$K$30))</f>
        <v>#DIV/0!</v>
      </c>
      <c r="L70" s="57"/>
      <c r="M70" s="57"/>
      <c r="N70" s="57"/>
      <c r="O70" s="57"/>
      <c r="P70" s="57"/>
      <c r="Q70" s="57"/>
    </row>
    <row r="71" spans="10:19" ht="37.9" customHeight="1">
      <c r="J71" s="61" t="s">
        <v>114</v>
      </c>
      <c r="K71" s="46" t="e">
        <f>$K$69-($K$13*(1+AVERAGE($K$16:$N$16))/$B$2)</f>
        <v>#DIV/0!</v>
      </c>
      <c r="L71" s="57"/>
      <c r="M71" s="57"/>
      <c r="N71" s="57"/>
      <c r="O71" s="57"/>
      <c r="P71" s="57"/>
      <c r="Q71" s="57"/>
    </row>
    <row r="72" spans="10:19" ht="37.9" customHeight="1">
      <c r="J72" s="61" t="s">
        <v>115</v>
      </c>
      <c r="K72" s="46" t="e">
        <f>$K$69-($B$17*(1+$K$63))/$K$48</f>
        <v>#DIV/0!</v>
      </c>
      <c r="L72" s="57"/>
      <c r="M72" s="57"/>
      <c r="N72" s="57"/>
      <c r="O72" s="57"/>
      <c r="P72" s="57"/>
      <c r="Q72" s="57"/>
    </row>
  </sheetData>
  <protectedRanges>
    <protectedRange sqref="B7:H8 B3 B2:H2 B10:H10 B14:H15 B12:H12 B23:H24 B26:H27 B29:H29 B31:H31 B34:H34 K7:Q9 P2:P3 R2 K13:Q13 S66" name="Range1"/>
  </protectedRanges>
  <mergeCells count="6">
    <mergeCell ref="A41:B41"/>
    <mergeCell ref="A36:B36"/>
    <mergeCell ref="A37:B37"/>
    <mergeCell ref="A38:B38"/>
    <mergeCell ref="A39:B39"/>
    <mergeCell ref="A40:B40"/>
  </mergeCells>
  <conditionalFormatting sqref="K3 B4:H4 B9:H9 B11:H11 B13:H13 Q14:Q15 K14:P16 B16:H20 K24:Q30 B25:H25 B28:H28 B30:H30 B32:H33 K32:Q38 K46:Q50 K52:Q54 K56:K63 K65:K67 K70:K72 S65">
    <cfRule type="containsErrors" dxfId="11" priority="12">
      <formula>ISERROR(B3)</formula>
    </cfRule>
  </conditionalFormatting>
  <conditionalFormatting sqref="K3 B4:H4 B9:H9 B11:H11 B13:H13 Q14:Q15 K14:P16 B16:H20 K24:Q30 B25:H25 B28:H28 B30:H30 B32:H33 K32:Q38 K46:Q50 K52:Q54 K56:K63 S65 K65:K67 K70:K72">
    <cfRule type="cellIs" dxfId="10" priority="11" operator="equal">
      <formula>0</formula>
    </cfRule>
  </conditionalFormatting>
  <conditionalFormatting sqref="K40:Q44">
    <cfRule type="cellIs" dxfId="9" priority="9" operator="equal">
      <formula>0</formula>
    </cfRule>
    <cfRule type="containsErrors" dxfId="8" priority="10">
      <formula>ISERROR(K40)</formula>
    </cfRule>
  </conditionalFormatting>
  <conditionalFormatting sqref="R2 P2:P3 B2:H4 K3 K7:Q9 B7:H11 K13:Q16 B13:H20 B23:H30 K24:Q30 B32:H34 K32:Q38 K40:Q44 K46:Q50 K52:Q54 K56:Q63 K65:Q67 L69:Q69 K70:Q72">
    <cfRule type="cellIs" dxfId="7" priority="6" operator="lessThanOrEqual">
      <formula>-10000</formula>
    </cfRule>
    <cfRule type="cellIs" dxfId="6" priority="7" operator="greaterThan">
      <formula>10000</formula>
    </cfRule>
    <cfRule type="cellIs" dxfId="5" priority="8" operator="lessThan">
      <formula>0</formula>
    </cfRule>
  </conditionalFormatting>
  <conditionalFormatting sqref="S34:Y35">
    <cfRule type="cellIs" dxfId="4" priority="4" operator="equal">
      <formula>0</formula>
    </cfRule>
    <cfRule type="containsErrors" dxfId="3" priority="5">
      <formula>ISERROR(S34)</formula>
    </cfRule>
  </conditionalFormatting>
  <conditionalFormatting sqref="B12:H12">
    <cfRule type="cellIs" dxfId="2" priority="1" operator="lessThanOrEqual">
      <formula>-10000</formula>
    </cfRule>
    <cfRule type="cellIs" dxfId="1" priority="2" operator="greaterThan">
      <formula>10000</formula>
    </cfRule>
    <cfRule type="cellIs" dxfId="0" priority="3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Pieters</dc:creator>
  <cp:keywords/>
  <dc:description/>
  <cp:lastModifiedBy>Gastgebruiker</cp:lastModifiedBy>
  <cp:revision/>
  <dcterms:created xsi:type="dcterms:W3CDTF">2025-11-04T17:16:57Z</dcterms:created>
  <dcterms:modified xsi:type="dcterms:W3CDTF">2025-11-05T19:30:57Z</dcterms:modified>
  <cp:category/>
  <cp:contentStatus/>
</cp:coreProperties>
</file>